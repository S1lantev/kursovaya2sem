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Анастасия\Documents\Codex\2026-10-13\x20-x20\outputs\"/>
    </mc:Choice>
  </mc:AlternateContent>
  <xr:revisionPtr revIDLastSave="0" documentId="13_ncr:1_{9FCB99C1-C0DB-4253-85DA-6A55ECD9B8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Расчёт" sheetId="1" r:id="rId1"/>
    <sheet name="Компромиссы" sheetId="2" r:id="rId2"/>
    <sheet name="Оценка рисков" sheetId="3" r:id="rId3"/>
    <sheet name="Анализ рисков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3" l="1"/>
  <c r="F17" i="3"/>
  <c r="F16" i="3"/>
  <c r="F15" i="3"/>
  <c r="F14" i="3"/>
  <c r="F13" i="3"/>
  <c r="F12" i="3"/>
  <c r="F11" i="3"/>
  <c r="F10" i="3"/>
  <c r="F9" i="3"/>
  <c r="F8" i="3"/>
  <c r="F7" i="3"/>
  <c r="H56" i="1"/>
  <c r="H55" i="1"/>
  <c r="H57" i="1" s="1"/>
  <c r="H52" i="1"/>
  <c r="H46" i="1"/>
  <c r="H36" i="1"/>
  <c r="G29" i="1"/>
  <c r="F29" i="1"/>
  <c r="H29" i="1" s="1"/>
  <c r="G28" i="1"/>
  <c r="F28" i="1"/>
  <c r="H28" i="1" s="1"/>
  <c r="G27" i="1"/>
  <c r="F27" i="1"/>
  <c r="H27" i="1" s="1"/>
  <c r="G26" i="1"/>
  <c r="F26" i="1"/>
  <c r="G25" i="1"/>
  <c r="F25" i="1"/>
  <c r="H25" i="1" s="1"/>
  <c r="G24" i="1"/>
  <c r="F24" i="1"/>
  <c r="H24" i="1" s="1"/>
  <c r="G23" i="1"/>
  <c r="F23" i="1"/>
  <c r="H23" i="1" s="1"/>
  <c r="G22" i="1"/>
  <c r="F22" i="1"/>
  <c r="H22" i="1" s="1"/>
  <c r="G21" i="1"/>
  <c r="F21" i="1"/>
  <c r="H21" i="1" s="1"/>
  <c r="G20" i="1"/>
  <c r="F20" i="1"/>
  <c r="H20" i="1" s="1"/>
  <c r="G19" i="1"/>
  <c r="F19" i="1"/>
  <c r="H19" i="1" s="1"/>
  <c r="G18" i="1"/>
  <c r="F18" i="1"/>
  <c r="H18" i="1" s="1"/>
  <c r="G17" i="1"/>
  <c r="F17" i="1"/>
  <c r="G16" i="1"/>
  <c r="F16" i="1"/>
  <c r="G15" i="1"/>
  <c r="F15" i="1"/>
  <c r="H15" i="1" s="1"/>
  <c r="G14" i="1"/>
  <c r="F14" i="1"/>
  <c r="H14" i="1" s="1"/>
  <c r="G13" i="1"/>
  <c r="F13" i="1"/>
  <c r="H13" i="1" s="1"/>
  <c r="G12" i="1"/>
  <c r="F12" i="1"/>
  <c r="H12" i="1" s="1"/>
  <c r="G11" i="1"/>
  <c r="F11" i="1"/>
  <c r="H11" i="1" s="1"/>
  <c r="G10" i="1"/>
  <c r="F10" i="1"/>
  <c r="H10" i="1" s="1"/>
  <c r="G14" i="3" l="1"/>
  <c r="H16" i="1"/>
  <c r="G18" i="3"/>
  <c r="G17" i="3"/>
  <c r="G16" i="3"/>
  <c r="G15" i="3"/>
  <c r="G12" i="3"/>
  <c r="G11" i="3"/>
  <c r="G10" i="3"/>
  <c r="G9" i="3"/>
  <c r="G8" i="3"/>
  <c r="G7" i="3"/>
  <c r="G13" i="3"/>
  <c r="H17" i="1"/>
  <c r="H26" i="1"/>
  <c r="F30" i="1"/>
  <c r="E9" i="4" l="1"/>
  <c r="H30" i="1"/>
  <c r="C7" i="4"/>
  <c r="E7" i="4"/>
  <c r="G7" i="4"/>
  <c r="B8" i="4"/>
  <c r="C9" i="4"/>
  <c r="D8" i="4"/>
  <c r="F8" i="4"/>
  <c r="B9" i="4"/>
  <c r="F9" i="4"/>
  <c r="B5" i="4"/>
  <c r="C5" i="4"/>
  <c r="D5" i="4"/>
  <c r="E5" i="4"/>
  <c r="F5" i="4"/>
  <c r="B6" i="4"/>
  <c r="D6" i="4"/>
  <c r="D9" i="4"/>
  <c r="G5" i="4"/>
  <c r="C6" i="4"/>
  <c r="E6" i="4"/>
  <c r="F6" i="4"/>
  <c r="G6" i="4"/>
  <c r="B7" i="4"/>
  <c r="D7" i="4"/>
  <c r="F7" i="4"/>
  <c r="C8" i="4"/>
  <c r="E8" i="4"/>
  <c r="G8" i="4"/>
  <c r="G9" i="4"/>
  <c r="H40" i="1" l="1"/>
  <c r="H60" i="1" s="1"/>
  <c r="H61" i="1" s="1"/>
  <c r="H62" i="1" s="1"/>
  <c r="H64" i="1" s="1"/>
  <c r="H65" i="1" s="1"/>
  <c r="C5" i="1" s="1"/>
  <c r="H69" i="1"/>
  <c r="H70" i="1" s="1"/>
  <c r="G5" i="1" s="1"/>
  <c r="H76" i="1" l="1"/>
  <c r="B5" i="1"/>
  <c r="H71" i="1"/>
  <c r="H72" i="1" l="1"/>
  <c r="H5" i="1" s="1"/>
  <c r="H74" i="1"/>
</calcChain>
</file>

<file path=xl/sharedStrings.xml><?xml version="1.0" encoding="utf-8"?>
<sst xmlns="http://schemas.openxmlformats.org/spreadsheetml/2006/main" count="283" uniqueCount="223">
  <si>
    <t>Лабораторная работа №2. Оценка рисков и себестоимости проекта</t>
  </si>
  <si>
    <t>АС «База детейлинг студии». Силантьев К.Д., ЗПИуд-123. Дата: 13.10.2026.</t>
  </si>
  <si>
    <t>Трудозатраты, чел.-ч</t>
  </si>
  <si>
    <t>Стоимость, руб.</t>
  </si>
  <si>
    <t>Срок, мес.</t>
  </si>
  <si>
    <t>Специалистов</t>
  </si>
  <si>
    <t>1. Разработка и тестирование</t>
  </si>
  <si>
    <t>AJAX</t>
  </si>
  <si>
    <t>№</t>
  </si>
  <si>
    <t>Прецедент</t>
  </si>
  <si>
    <t>Сценарий и обоснование</t>
  </si>
  <si>
    <t>Ранг</t>
  </si>
  <si>
    <t>Научный 0/1</t>
  </si>
  <si>
    <t>База, чел.-ч</t>
  </si>
  <si>
    <t>Коэф. техн.</t>
  </si>
  <si>
    <t>Итого, чел.-ч</t>
  </si>
  <si>
    <t>Вход в систему</t>
  </si>
  <si>
    <t>Проверка учётных данных, выдача JWT и завершение сессии.</t>
  </si>
  <si>
    <t>Настройка ролей</t>
  </si>
  <si>
    <t>Администратор назначает роли; сервер проверяет права менеджера и мастера.</t>
  </si>
  <si>
    <t>Справочник услуг</t>
  </si>
  <si>
    <t>Изменение цены и длительности услуги с сохранением действующих заказов.</t>
  </si>
  <si>
    <t>Карточка клиента и авто</t>
  </si>
  <si>
    <t>Контакты клиента, несколько автомобилей, поиск и проверка полей.</t>
  </si>
  <si>
    <t>Календарь доступности</t>
  </si>
  <si>
    <t>Вывод свободных интервалов с учётом длительности услуги и мастера.</t>
  </si>
  <si>
    <t>Создание онлайн-записи</t>
  </si>
  <si>
    <t>Сохранение визита; транзакционная защита от одновременного занятия интервала.</t>
  </si>
  <si>
    <t>Перенос и отмена визита</t>
  </si>
  <si>
    <t>Проверка нового времени, обновление календаря и связанного задания.</t>
  </si>
  <si>
    <t>Распределение заданий</t>
  </si>
  <si>
    <t>Назначение мастера и отображение его очереди работ.</t>
  </si>
  <si>
    <t>Выполнение работы</t>
  </si>
  <si>
    <t>Начало и завершение своего задания, время и допустимые статусы.</t>
  </si>
  <si>
    <t>Фото до и после</t>
  </si>
  <si>
    <t>Загрузка фото в MinIO, привязка к визиту, права просмотра и удаление.</t>
  </si>
  <si>
    <t>Приёмка материалов</t>
  </si>
  <si>
    <t>Приход химии по номенклатуре, количеству и единице измерения.</t>
  </si>
  <si>
    <t>Списание химии</t>
  </si>
  <si>
    <t>Расход по заказу, атомарное изменение остатка, запрет отрицательного остатка.</t>
  </si>
  <si>
    <t>Заказ на пополнение</t>
  </si>
  <si>
    <t>Контроль минимального остатка, формирование заявки без дублирования.</t>
  </si>
  <si>
    <t>История визитов</t>
  </si>
  <si>
    <t>Просмотр услуг, фото, стоимости и исполнителей по клиенту.</t>
  </si>
  <si>
    <t>Программа лояльности</t>
  </si>
  <si>
    <t>Начисление и списание бонусов, контроль повторной операции и баланса.</t>
  </si>
  <si>
    <t>Документы по визиту</t>
  </si>
  <si>
    <t>Формирование акта и чека по составу услуг и итоговой сумме.</t>
  </si>
  <si>
    <t>Оплата через эквайринг</t>
  </si>
  <si>
    <t>Отправка платежа, проверка уведомления провайдера и защита от повторного учёта.</t>
  </si>
  <si>
    <t>Отчёты студии</t>
  </si>
  <si>
    <t>Выручка, загрузка мастеров и популярность услуг за выбранный период.</t>
  </si>
  <si>
    <t>Восстановление системы</t>
  </si>
  <si>
    <t>Восстановление сервиса и БД; контроль связей и норматив 20 минут.</t>
  </si>
  <si>
    <t>Оффлайн и синхронизация</t>
  </si>
  <si>
    <t>Очередь изменений без сети, повторная передача и разрешение конфликтов.</t>
  </si>
  <si>
    <t>Итого разработка и тестирование</t>
  </si>
  <si>
    <t>2. Дополнительная документация</t>
  </si>
  <si>
    <t>Полное руководство пользователя</t>
  </si>
  <si>
    <t>чел.-ч</t>
  </si>
  <si>
    <t>Полное руководство администратора</t>
  </si>
  <si>
    <t>Инструкция по развёртыванию и сопровождению</t>
  </si>
  <si>
    <t>Итого дополнительная документация</t>
  </si>
  <si>
    <t>3. Управление проектом</t>
  </si>
  <si>
    <t>Доля управления от разработки и тестирования</t>
  </si>
  <si>
    <t>доля</t>
  </si>
  <si>
    <t>Трудозатраты на управление</t>
  </si>
  <si>
    <t>4. Коэффициенты внешних рисков</t>
  </si>
  <si>
    <t>Неуточнённый интерфейс эквайринга</t>
  </si>
  <si>
    <t>коэф.</t>
  </si>
  <si>
    <t>Неуточнённые правила бонусов заказчика</t>
  </si>
  <si>
    <t>Неуточнённые правила оффлайн-синхронизации</t>
  </si>
  <si>
    <t>Общий коэффициент риска</t>
  </si>
  <si>
    <t>5. Дополнительные работы</t>
  </si>
  <si>
    <t>Первичное развёртывание приложения</t>
  </si>
  <si>
    <t>Перенос и проверка начальных данных</t>
  </si>
  <si>
    <t>Подготовка и проведение двух тренингов по 4 часа</t>
  </si>
  <si>
    <t>Итого дополнительные работы</t>
  </si>
  <si>
    <t>6. Дополнительные денежные расходы</t>
  </si>
  <si>
    <t>Облачный сервер, месяцы</t>
  </si>
  <si>
    <t>руб./мес.</t>
  </si>
  <si>
    <t>Тестовая интеграция эквайринга</t>
  </si>
  <si>
    <t>руб./компл.</t>
  </si>
  <si>
    <t>Итого денежные расходы</t>
  </si>
  <si>
    <t>руб.</t>
  </si>
  <si>
    <t>7. Итоговая оценка</t>
  </si>
  <si>
    <t>Разработка + документация + управление</t>
  </si>
  <si>
    <t>Трудозатраты с учётом рисков</t>
  </si>
  <si>
    <t>Итого трудозатраты с дополнительными работами</t>
  </si>
  <si>
    <t>Единая ставка оплаты (учебное допущение)</t>
  </si>
  <si>
    <t>руб./ч</t>
  </si>
  <si>
    <t>Стоимость трудозатрат</t>
  </si>
  <si>
    <t>Расчётная себестоимость проекта</t>
  </si>
  <si>
    <t>8. Продолжительность и команда</t>
  </si>
  <si>
    <t>Рабочих часов в человеко-месяце</t>
  </si>
  <si>
    <t>ч/мес.</t>
  </si>
  <si>
    <t>Разработка и доп. документация с рисками, E</t>
  </si>
  <si>
    <t>чел.-мес.</t>
  </si>
  <si>
    <t>Срок по Боэму: T = 2,5 × E^(1/3)</t>
  </si>
  <si>
    <t>мес.</t>
  </si>
  <si>
    <t>Средняя потребность в полной занятости</t>
  </si>
  <si>
    <t>чел.</t>
  </si>
  <si>
    <t>Потребность после округления вверх</t>
  </si>
  <si>
    <t>Состав команды по ЛР №3</t>
  </si>
  <si>
    <t>Средняя загрузка каждого из 6 участников</t>
  </si>
  <si>
    <t>Календарное окно апрель–декабрь по ТЗ</t>
  </si>
  <si>
    <t>Загрузка при распределении на 9 месяцев</t>
  </si>
  <si>
    <t>Бизнес, чел.-ч</t>
  </si>
  <si>
    <t>Научный, чел.-ч</t>
  </si>
  <si>
    <t>Источник нормативов: методичка, ЛР №2, таблицы 3–5 и формула Боэма; структура расчёта соответствует приложению.</t>
  </si>
  <si>
    <t>Источник функций: ЛР №1, №3 и №4 Силантьева: ТЗ, команда и архитектура АС «БДС».</t>
  </si>
  <si>
    <t>Коэффициент 1,5 из строки AJAX применён к React/API как учебная аналогия. Отдельный коэффициент для Django в методичке не задан.</t>
  </si>
  <si>
    <t>Ставка 550 руб./ч, часы дополнительных работ и расходы — учебные допущения. Фактических коммерческих тарифов в исходных данных нет.</t>
  </si>
  <si>
    <t>Базовая оценка уже включает анализ, архитектуру, разработку, тестирование и минимальную документацию. Эти работы повторно не добавлены.</t>
  </si>
  <si>
    <t>Риски умножают разработку, управление и доп. документацию; доп. работы и денежные расходы добавлены отдельно. Внутренние риски команды в коэффициент не входят.</t>
  </si>
  <si>
    <t>Для формулы Боэма E включает разработку и доп. документацию с рисками. Управление и внедрение исключены из E по тексту алгоритма; потребность в людях рассчитана по общим часам.</t>
  </si>
  <si>
    <t>Матрица компромиссов АС «БДС»</t>
  </si>
  <si>
    <t>Фактор</t>
  </si>
  <si>
    <t>Фиксируется</t>
  </si>
  <si>
    <t>Согласовывается</t>
  </si>
  <si>
    <t>Принимается</t>
  </si>
  <si>
    <t>Обоснование</t>
  </si>
  <si>
    <t>Ресурсы</t>
  </si>
  <si>
    <t>X</t>
  </si>
  <si>
    <t>Команда из 6 участников; доли занятости и расходы согласуются в пределах учебного проекта.</t>
  </si>
  <si>
    <t>Время</t>
  </si>
  <si>
    <t>Защита и завершение проекта в декабре 2026 г.; учебный срок фиксирован.</t>
  </si>
  <si>
    <t>Возможности</t>
  </si>
  <si>
    <t>При дефиците времени сокращается объём спринта, но обязательные требования ТЗ сохраняются.</t>
  </si>
  <si>
    <t>Приоритет: время → ресурсы → возможности. Изменения обязательных функций согласуются с Product Owner.</t>
  </si>
  <si>
    <t>В первую очередь реализуются вход, запись клиентов, задания мастеров, склад и оплата услуг.</t>
  </si>
  <si>
    <t>Декоративные улучшения и новые функции вне ТЗ могут быть перенесены. Оффлайн, безопасность и эквайринг из ТЗ автоматически не исключаются.</t>
  </si>
  <si>
    <t>Источник: методичка, матрица компромиссов; ТЗ первого семестра; состав команды из ЛР №3.</t>
  </si>
  <si>
    <t>Список рисков и экспертная оценка</t>
  </si>
  <si>
    <t>Учебная модель: оценки трёх условных экспертов — Product Owner, тимлида и QA. Опрос участников не проводился.</t>
  </si>
  <si>
    <t>Шкала 1–5: 1 — незначительный, 2 — низкий, 3 — средний, 4 — высокий, 5 — критический риск.</t>
  </si>
  <si>
    <t>Рейтинг = среднее трёх обязательных оценок. При равенстве выше стоит риск с меньшим ID.</t>
  </si>
  <si>
    <t>ID</t>
  </si>
  <si>
    <t>Риск</t>
  </si>
  <si>
    <t>Product Owner</t>
  </si>
  <si>
    <t>Тимлид</t>
  </si>
  <si>
    <t>QA</t>
  </si>
  <si>
    <t>Рейтинг</t>
  </si>
  <si>
    <t>Место</t>
  </si>
  <si>
    <t>R01</t>
  </si>
  <si>
    <t>Двойная запись к одному мастеру</t>
  </si>
  <si>
    <t>R02</t>
  </si>
  <si>
    <t>Неверный остаток или повторное списание химии</t>
  </si>
  <si>
    <t>R03</t>
  </si>
  <si>
    <t>Повторная регистрация платежа эквайринга</t>
  </si>
  <si>
    <t>R04</t>
  </si>
  <si>
    <t>Потеря изменений после работы без сети</t>
  </si>
  <si>
    <t>R05</t>
  </si>
  <si>
    <t>Доступ мастера к чужим данным и заданиям</t>
  </si>
  <si>
    <t>R06</t>
  </si>
  <si>
    <t>Уточнение правил бонусов и отмены после реализации</t>
  </si>
  <si>
    <t>R07</t>
  </si>
  <si>
    <t>Сбой сервера и невозможность восстановления за 20 минут</t>
  </si>
  <si>
    <t>R08</t>
  </si>
  <si>
    <t>Недостаточная квалификация по выбранному стеку</t>
  </si>
  <si>
    <t>R09</t>
  </si>
  <si>
    <t>Отклик более 2 секунд при 15 пользователях</t>
  </si>
  <si>
    <t>R10</t>
  </si>
  <si>
    <t>Ошибки переноса клиентской базы и остатков</t>
  </si>
  <si>
    <t>R11</t>
  </si>
  <si>
    <t>Задержка работ к декабрьской защите</t>
  </si>
  <si>
    <t>R12</t>
  </si>
  <si>
    <t>Недоступность фотографий в MinIO</t>
  </si>
  <si>
    <t>Источник списка: ТЗ АС «БДС», архитектура, команда и график из ЛР №1–4 первого семестра. Оценки — учебные предположения.</t>
  </si>
  <si>
    <t>Последствия и меры для всех рисков</t>
  </si>
  <si>
    <t>Последствия</t>
  </si>
  <si>
    <t>Предотвращение</t>
  </si>
  <si>
    <t>Минимизация</t>
  </si>
  <si>
    <t>Ответственный</t>
  </si>
  <si>
    <t>Примечание</t>
  </si>
  <si>
    <t>Срыв визита и конфликт с клиентом.</t>
  </si>
  <si>
    <t>Проверять пересечение интервалов на сервере и тестировать конкурентные запросы.</t>
  </si>
  <si>
    <t>Связаться с клиентами, предложить другой интервал и исправить причину конфликта.</t>
  </si>
  <si>
    <t>Backend и менеджер</t>
  </si>
  <si>
    <t>Проектный риск</t>
  </si>
  <si>
    <t>Нехватка материалов и искажённая себестоимость услуг.</t>
  </si>
  <si>
    <t>Единые единицы измерения, транзакции и уникальные номера документов.</t>
  </si>
  <si>
    <t>Сверить склад с документами, исправить движения и провести инвентаризацию.</t>
  </si>
  <si>
    <t>Backend и QA</t>
  </si>
  <si>
    <t>Завышенная выручка и неверный статус оплаты визита.</t>
  </si>
  <si>
    <t>Проверять подпись ответа и повторяемость callback по ID платежа.</t>
  </si>
  <si>
    <t>Сверить операции с провайдером, убрать повторный учёт и восстановить статус.</t>
  </si>
  <si>
    <t>Backend и тимлид</t>
  </si>
  <si>
    <t>Исчезновение записей и несогласованность заданий и склада.</t>
  </si>
  <si>
    <t>Очередь операций, подтверждение доставки и согласованные правила конфликтов.</t>
  </si>
  <si>
    <t>Остановить спорную синхронизацию, восстановить журнал и вручную сверить данные.</t>
  </si>
  <si>
    <t>Тимлид и QA</t>
  </si>
  <si>
    <t>Раскрытие клиентской информации и изменение чужой работы.</t>
  </si>
  <si>
    <t>Проверять роль и владельца объекта в каждом API; проводить отрицательные тесты.</t>
  </si>
  <si>
    <t>Отозвать сессии, ограничить доступ, исправить проверки и изучить журнал действий.</t>
  </si>
  <si>
    <t>Backend</t>
  </si>
  <si>
    <t>Внутренний риск; не входит в денежный коэффициент.</t>
  </si>
  <si>
    <t>Переделка расчётов и увеличение объёма разработки.</t>
  </si>
  <si>
    <t>Согласовать правила и граничные примеры до начала спринта.</t>
  </si>
  <si>
    <t>Оценить изменение и пересобрать backlog без потери обязательных функций.</t>
  </si>
  <si>
    <t>Простой студии и потеря рабочих данных.</t>
  </si>
  <si>
    <t>Резервные копии БД и фото, мониторинг, тренировочное восстановление.</t>
  </si>
  <si>
    <t>Восстановить сервис, сверить записи и материалы, зарегистрировать потерянные операции.</t>
  </si>
  <si>
    <t>Задержка задач и ошибки в интеграциях.</t>
  </si>
  <si>
    <t>Обучение, ревью и парная работа над сложными функциями.</t>
  </si>
  <si>
    <t>Подключить тимлида и перераспределить задачи текущего спринта.</t>
  </si>
  <si>
    <t>Замедление календаря и несоблюдение ТЗ.</t>
  </si>
  <si>
    <t>Нагрузочные прогоны, индексы и контроль времени API.</t>
  </si>
  <si>
    <t>Оптимизировать запросы и проверить выделенные ресурсы.</t>
  </si>
  <si>
    <t>Дубли клиентов и неверные стартовые данные.</t>
  </si>
  <si>
    <t>Согласовать формат выгрузки и проверить пробный импорт.</t>
  </si>
  <si>
    <t>Откатить импорт, исправить соответствие полей и повторить загрузку.</t>
  </si>
  <si>
    <t>Не готова часть функций или отчёт.</t>
  </si>
  <si>
    <t>Планировать спринты по готовым результатам и оставить резерв на проверки.</t>
  </si>
  <si>
    <t>Перераспределить работу и отложить улучшения вне обязательного объёма.</t>
  </si>
  <si>
    <t>Scrum Master</t>
  </si>
  <si>
    <t>Нельзя подтвердить состояние автомобиля до и после услуг.</t>
  </si>
  <si>
    <t>Проверять права хранения и восстановление объектов из копии.</t>
  </si>
  <si>
    <t>Восстановить файлы и проверить ссылки на фото в карточках визитов.</t>
  </si>
  <si>
    <t>Анализ пяти рисков с наибольшим рейтингом</t>
  </si>
  <si>
    <t>Список обновляется автоматически при изменении экспертных оценок.</t>
  </si>
  <si>
    <t>Меры предотвращения применяются до наступления события; меры минимизации — после его наступления.</t>
  </si>
  <si>
    <t>Коэффициент 1,10 для эквайринга взят из диапазона методички. Коэффициенты 1,05 и 1,08 — принятые надбавки на уточнение бонусов и оффлайн-правил заказчика.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</si>
</sst>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4">
    <font>
      <sz val="11"/>
      <name val="Carlito"/>
    </font>
    <font>
      <sz val="11"/>
      <color rgb="FF000000"/>
      <name val="Arial"/>
    </font>
    <font>
      <b/>
      <sz val="11"/>
      <color rgb="FF000000"/>
      <name val="Arial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909090"/>
      </left>
      <right style="thin">
        <color rgb="FF909090"/>
      </right>
      <top style="thin">
        <color rgb="FF909090"/>
      </top>
      <bottom style="thin">
        <color rgb="FF909090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0" borderId="0" xfId="1" applyFont="1" applyAlignment="1">
      <alignment vertical="top" wrapText="1"/>
    </xf>
    <xf numFmtId="4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0" fontId="2" fillId="2" borderId="1" xfId="1" applyFont="1" applyFill="1" applyBorder="1" applyAlignment="1">
      <alignment vertical="top" wrapText="1"/>
    </xf>
    <xf numFmtId="0" fontId="1" fillId="0" borderId="1" xfId="1" applyFont="1" applyBorder="1" applyAlignment="1">
      <alignment vertical="top" wrapText="1"/>
    </xf>
    <xf numFmtId="9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2" fontId="1" fillId="0" borderId="1" xfId="1" applyNumberFormat="1" applyFont="1" applyBorder="1" applyAlignment="1">
      <alignment vertical="top" wrapText="1"/>
    </xf>
    <xf numFmtId="2" fontId="2" fillId="2" borderId="1" xfId="1" applyNumberFormat="1" applyFont="1" applyFill="1" applyBorder="1" applyAlignment="1">
      <alignment vertical="top" wrapText="1"/>
    </xf>
    <xf numFmtId="165" fontId="1" fillId="0" borderId="0" xfId="1" applyNumberFormat="1" applyFont="1" applyAlignment="1">
      <alignment vertical="top" wrapText="1"/>
    </xf>
    <xf numFmtId="0" fontId="2" fillId="0" borderId="0" xfId="1" applyFont="1" applyAlignment="1">
      <alignment vertical="top" wrapText="1"/>
    </xf>
    <xf numFmtId="0" fontId="1" fillId="0" borderId="0" xfId="1" applyFont="1" applyAlignment="1">
      <alignment vertical="top" wrapText="1"/>
    </xf>
    <xf numFmtId="0" fontId="2" fillId="2" borderId="0" xfId="1" applyFont="1" applyFill="1" applyAlignment="1">
      <alignment vertical="top" wrapText="1"/>
    </xf>
    <xf numFmtId="4" fontId="2" fillId="2" borderId="0" xfId="1" applyNumberFormat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workbookViewId="0">
      <pane ySplit="9" topLeftCell="A10" activePane="bottomLeft" state="frozen"/>
      <selection pane="bottomLeft" sqref="A1:H1"/>
    </sheetView>
  </sheetViews>
  <sheetFormatPr defaultRowHeight="13.8"/>
  <cols>
    <col min="1" max="1" width="6" customWidth="1"/>
    <col min="2" max="2" width="28" customWidth="1"/>
    <col min="3" max="3" width="52" customWidth="1"/>
    <col min="4" max="4" width="10" customWidth="1"/>
    <col min="5" max="5" width="11" customWidth="1"/>
    <col min="6" max="6" width="15" customWidth="1"/>
    <col min="7" max="7" width="12" customWidth="1"/>
    <col min="8" max="8" width="17" customWidth="1"/>
  </cols>
  <sheetData>
    <row r="1" spans="1:8" ht="25.95" customHeight="1">
      <c r="A1" s="12" t="s">
        <v>0</v>
      </c>
      <c r="B1" s="12"/>
      <c r="C1" s="12"/>
      <c r="D1" s="12"/>
      <c r="E1" s="12"/>
      <c r="F1" s="12"/>
      <c r="G1" s="12"/>
      <c r="H1" s="12"/>
    </row>
    <row r="2" spans="1:8" ht="24" customHeight="1">
      <c r="A2" s="13" t="s">
        <v>1</v>
      </c>
      <c r="B2" s="13"/>
      <c r="C2" s="13"/>
      <c r="D2" s="13"/>
      <c r="E2" s="13"/>
      <c r="F2" s="13"/>
      <c r="G2" s="13"/>
      <c r="H2" s="13"/>
    </row>
    <row r="3" spans="1:8" ht="22.05" customHeight="1">
      <c r="A3" s="1"/>
      <c r="B3" s="1"/>
      <c r="C3" s="1"/>
      <c r="D3" s="1"/>
      <c r="E3" s="1"/>
      <c r="F3" s="1"/>
      <c r="G3" s="1"/>
      <c r="H3" s="1"/>
    </row>
    <row r="4" spans="1:8" ht="22.05" customHeight="1">
      <c r="A4" s="1"/>
      <c r="B4" s="1" t="s">
        <v>2</v>
      </c>
      <c r="C4" s="1" t="s">
        <v>3</v>
      </c>
      <c r="D4" s="1"/>
      <c r="E4" s="1"/>
      <c r="F4" s="1"/>
      <c r="G4" s="1" t="s">
        <v>4</v>
      </c>
      <c r="H4" s="1" t="s">
        <v>5</v>
      </c>
    </row>
    <row r="5" spans="1:8" ht="22.05" customHeight="1">
      <c r="A5" s="1"/>
      <c r="B5" s="2">
        <f>H62</f>
        <v>2943.1073000000006</v>
      </c>
      <c r="C5" s="2">
        <f>H65</f>
        <v>1642709.0150000004</v>
      </c>
      <c r="D5" s="1"/>
      <c r="E5" s="1"/>
      <c r="F5" s="1"/>
      <c r="G5" s="3">
        <f>H70</f>
        <v>6.1029405697203529</v>
      </c>
      <c r="H5" s="4">
        <f>H72</f>
        <v>4</v>
      </c>
    </row>
    <row r="6" spans="1:8" ht="22.05" customHeight="1">
      <c r="A6" s="1"/>
      <c r="B6" s="1"/>
      <c r="C6" s="1"/>
      <c r="D6" s="1"/>
      <c r="E6" s="1"/>
      <c r="F6" s="1"/>
      <c r="G6" s="1"/>
      <c r="H6" s="1"/>
    </row>
    <row r="7" spans="1:8" ht="24" customHeight="1">
      <c r="A7" s="14" t="s">
        <v>6</v>
      </c>
      <c r="B7" s="14"/>
      <c r="C7" s="14"/>
      <c r="D7" s="14"/>
      <c r="E7" s="14"/>
      <c r="F7" s="14"/>
      <c r="G7" s="14"/>
      <c r="H7" s="14"/>
    </row>
    <row r="8" spans="1:8" ht="22.05" customHeight="1">
      <c r="A8" s="1"/>
      <c r="B8" s="1"/>
      <c r="C8" s="1"/>
      <c r="D8" s="1"/>
      <c r="E8" s="1"/>
      <c r="F8" s="1" t="s">
        <v>7</v>
      </c>
      <c r="G8" s="1">
        <v>1.5</v>
      </c>
      <c r="H8" s="1"/>
    </row>
    <row r="9" spans="1:8" ht="42" customHeight="1">
      <c r="A9" s="5" t="s">
        <v>8</v>
      </c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14</v>
      </c>
      <c r="H9" s="5" t="s">
        <v>15</v>
      </c>
    </row>
    <row r="10" spans="1:8" ht="48" customHeight="1">
      <c r="A10" s="6">
        <v>1</v>
      </c>
      <c r="B10" s="6" t="s">
        <v>16</v>
      </c>
      <c r="C10" s="6" t="s">
        <v>17</v>
      </c>
      <c r="D10" s="6">
        <v>2</v>
      </c>
      <c r="E10" s="6">
        <v>0</v>
      </c>
      <c r="F10" s="9">
        <f t="shared" ref="F10:F29" si="0">IF(E10=1,VLOOKUP(D10,$A$79:$C$83,3,FALSE),VLOOKUP(D10,$A$79:$C$83,2,FALSE))</f>
        <v>45</v>
      </c>
      <c r="G10" s="9">
        <f t="shared" ref="G10:G29" si="1">$G$8</f>
        <v>1.5</v>
      </c>
      <c r="H10" s="9">
        <f t="shared" ref="H10:H29" si="2">F10*G10</f>
        <v>67.5</v>
      </c>
    </row>
    <row r="11" spans="1:8" ht="48" customHeight="1">
      <c r="A11" s="6">
        <v>2</v>
      </c>
      <c r="B11" s="6" t="s">
        <v>18</v>
      </c>
      <c r="C11" s="6" t="s">
        <v>19</v>
      </c>
      <c r="D11" s="6">
        <v>3</v>
      </c>
      <c r="E11" s="6">
        <v>0</v>
      </c>
      <c r="F11" s="9">
        <f t="shared" si="0"/>
        <v>58</v>
      </c>
      <c r="G11" s="9">
        <f t="shared" si="1"/>
        <v>1.5</v>
      </c>
      <c r="H11" s="9">
        <f t="shared" si="2"/>
        <v>87</v>
      </c>
    </row>
    <row r="12" spans="1:8" ht="48" customHeight="1">
      <c r="A12" s="6">
        <v>3</v>
      </c>
      <c r="B12" s="6" t="s">
        <v>20</v>
      </c>
      <c r="C12" s="6" t="s">
        <v>21</v>
      </c>
      <c r="D12" s="6">
        <v>2</v>
      </c>
      <c r="E12" s="6">
        <v>0</v>
      </c>
      <c r="F12" s="9">
        <f t="shared" si="0"/>
        <v>45</v>
      </c>
      <c r="G12" s="9">
        <f t="shared" si="1"/>
        <v>1.5</v>
      </c>
      <c r="H12" s="9">
        <f t="shared" si="2"/>
        <v>67.5</v>
      </c>
    </row>
    <row r="13" spans="1:8" ht="48" customHeight="1">
      <c r="A13" s="6">
        <v>4</v>
      </c>
      <c r="B13" s="6" t="s">
        <v>22</v>
      </c>
      <c r="C13" s="6" t="s">
        <v>23</v>
      </c>
      <c r="D13" s="6">
        <v>3</v>
      </c>
      <c r="E13" s="6">
        <v>0</v>
      </c>
      <c r="F13" s="9">
        <f t="shared" si="0"/>
        <v>58</v>
      </c>
      <c r="G13" s="9">
        <f t="shared" si="1"/>
        <v>1.5</v>
      </c>
      <c r="H13" s="9">
        <f t="shared" si="2"/>
        <v>87</v>
      </c>
    </row>
    <row r="14" spans="1:8" ht="48" customHeight="1">
      <c r="A14" s="6">
        <v>5</v>
      </c>
      <c r="B14" s="6" t="s">
        <v>24</v>
      </c>
      <c r="C14" s="6" t="s">
        <v>25</v>
      </c>
      <c r="D14" s="6">
        <v>3</v>
      </c>
      <c r="E14" s="6">
        <v>0</v>
      </c>
      <c r="F14" s="9">
        <f t="shared" si="0"/>
        <v>58</v>
      </c>
      <c r="G14" s="9">
        <f t="shared" si="1"/>
        <v>1.5</v>
      </c>
      <c r="H14" s="9">
        <f t="shared" si="2"/>
        <v>87</v>
      </c>
    </row>
    <row r="15" spans="1:8" ht="48" customHeight="1">
      <c r="A15" s="6">
        <v>6</v>
      </c>
      <c r="B15" s="6" t="s">
        <v>26</v>
      </c>
      <c r="C15" s="6" t="s">
        <v>27</v>
      </c>
      <c r="D15" s="6">
        <v>4</v>
      </c>
      <c r="E15" s="6">
        <v>0</v>
      </c>
      <c r="F15" s="9">
        <f t="shared" si="0"/>
        <v>71</v>
      </c>
      <c r="G15" s="9">
        <f t="shared" si="1"/>
        <v>1.5</v>
      </c>
      <c r="H15" s="9">
        <f t="shared" si="2"/>
        <v>106.5</v>
      </c>
    </row>
    <row r="16" spans="1:8" ht="48" customHeight="1">
      <c r="A16" s="6">
        <v>7</v>
      </c>
      <c r="B16" s="6" t="s">
        <v>28</v>
      </c>
      <c r="C16" s="6" t="s">
        <v>29</v>
      </c>
      <c r="D16" s="6">
        <v>3</v>
      </c>
      <c r="E16" s="6">
        <v>0</v>
      </c>
      <c r="F16" s="9">
        <f t="shared" si="0"/>
        <v>58</v>
      </c>
      <c r="G16" s="9">
        <f t="shared" si="1"/>
        <v>1.5</v>
      </c>
      <c r="H16" s="9">
        <f t="shared" si="2"/>
        <v>87</v>
      </c>
    </row>
    <row r="17" spans="1:8" ht="48" customHeight="1">
      <c r="A17" s="6">
        <v>8</v>
      </c>
      <c r="B17" s="6" t="s">
        <v>30</v>
      </c>
      <c r="C17" s="6" t="s">
        <v>31</v>
      </c>
      <c r="D17" s="6">
        <v>3</v>
      </c>
      <c r="E17" s="6">
        <v>0</v>
      </c>
      <c r="F17" s="9">
        <f t="shared" si="0"/>
        <v>58</v>
      </c>
      <c r="G17" s="9">
        <f t="shared" si="1"/>
        <v>1.5</v>
      </c>
      <c r="H17" s="9">
        <f t="shared" si="2"/>
        <v>87</v>
      </c>
    </row>
    <row r="18" spans="1:8" ht="48" customHeight="1">
      <c r="A18" s="6">
        <v>9</v>
      </c>
      <c r="B18" s="6" t="s">
        <v>32</v>
      </c>
      <c r="C18" s="6" t="s">
        <v>33</v>
      </c>
      <c r="D18" s="6">
        <v>3</v>
      </c>
      <c r="E18" s="6">
        <v>0</v>
      </c>
      <c r="F18" s="9">
        <f t="shared" si="0"/>
        <v>58</v>
      </c>
      <c r="G18" s="9">
        <f t="shared" si="1"/>
        <v>1.5</v>
      </c>
      <c r="H18" s="9">
        <f t="shared" si="2"/>
        <v>87</v>
      </c>
    </row>
    <row r="19" spans="1:8" ht="48" customHeight="1">
      <c r="A19" s="6">
        <v>10</v>
      </c>
      <c r="B19" s="6" t="s">
        <v>34</v>
      </c>
      <c r="C19" s="6" t="s">
        <v>35</v>
      </c>
      <c r="D19" s="6">
        <v>3</v>
      </c>
      <c r="E19" s="6">
        <v>0</v>
      </c>
      <c r="F19" s="9">
        <f t="shared" si="0"/>
        <v>58</v>
      </c>
      <c r="G19" s="9">
        <f t="shared" si="1"/>
        <v>1.5</v>
      </c>
      <c r="H19" s="9">
        <f t="shared" si="2"/>
        <v>87</v>
      </c>
    </row>
    <row r="20" spans="1:8" ht="48" customHeight="1">
      <c r="A20" s="6">
        <v>11</v>
      </c>
      <c r="B20" s="6" t="s">
        <v>36</v>
      </c>
      <c r="C20" s="6" t="s">
        <v>37</v>
      </c>
      <c r="D20" s="6">
        <v>2</v>
      </c>
      <c r="E20" s="6">
        <v>0</v>
      </c>
      <c r="F20" s="9">
        <f t="shared" si="0"/>
        <v>45</v>
      </c>
      <c r="G20" s="9">
        <f t="shared" si="1"/>
        <v>1.5</v>
      </c>
      <c r="H20" s="9">
        <f t="shared" si="2"/>
        <v>67.5</v>
      </c>
    </row>
    <row r="21" spans="1:8" ht="48" customHeight="1">
      <c r="A21" s="6">
        <v>12</v>
      </c>
      <c r="B21" s="6" t="s">
        <v>38</v>
      </c>
      <c r="C21" s="6" t="s">
        <v>39</v>
      </c>
      <c r="D21" s="6">
        <v>4</v>
      </c>
      <c r="E21" s="6">
        <v>0</v>
      </c>
      <c r="F21" s="9">
        <f t="shared" si="0"/>
        <v>71</v>
      </c>
      <c r="G21" s="9">
        <f t="shared" si="1"/>
        <v>1.5</v>
      </c>
      <c r="H21" s="9">
        <f t="shared" si="2"/>
        <v>106.5</v>
      </c>
    </row>
    <row r="22" spans="1:8" ht="48" customHeight="1">
      <c r="A22" s="6">
        <v>13</v>
      </c>
      <c r="B22" s="6" t="s">
        <v>40</v>
      </c>
      <c r="C22" s="6" t="s">
        <v>41</v>
      </c>
      <c r="D22" s="6">
        <v>3</v>
      </c>
      <c r="E22" s="6">
        <v>0</v>
      </c>
      <c r="F22" s="9">
        <f t="shared" si="0"/>
        <v>58</v>
      </c>
      <c r="G22" s="9">
        <f t="shared" si="1"/>
        <v>1.5</v>
      </c>
      <c r="H22" s="9">
        <f t="shared" si="2"/>
        <v>87</v>
      </c>
    </row>
    <row r="23" spans="1:8" ht="48" customHeight="1">
      <c r="A23" s="6">
        <v>14</v>
      </c>
      <c r="B23" s="6" t="s">
        <v>42</v>
      </c>
      <c r="C23" s="6" t="s">
        <v>43</v>
      </c>
      <c r="D23" s="6">
        <v>2</v>
      </c>
      <c r="E23" s="6">
        <v>0</v>
      </c>
      <c r="F23" s="9">
        <f t="shared" si="0"/>
        <v>45</v>
      </c>
      <c r="G23" s="9">
        <f t="shared" si="1"/>
        <v>1.5</v>
      </c>
      <c r="H23" s="9">
        <f t="shared" si="2"/>
        <v>67.5</v>
      </c>
    </row>
    <row r="24" spans="1:8" ht="48" customHeight="1">
      <c r="A24" s="6">
        <v>15</v>
      </c>
      <c r="B24" s="6" t="s">
        <v>44</v>
      </c>
      <c r="C24" s="6" t="s">
        <v>45</v>
      </c>
      <c r="D24" s="6">
        <v>4</v>
      </c>
      <c r="E24" s="6">
        <v>0</v>
      </c>
      <c r="F24" s="9">
        <f t="shared" si="0"/>
        <v>71</v>
      </c>
      <c r="G24" s="9">
        <f t="shared" si="1"/>
        <v>1.5</v>
      </c>
      <c r="H24" s="9">
        <f t="shared" si="2"/>
        <v>106.5</v>
      </c>
    </row>
    <row r="25" spans="1:8" ht="48" customHeight="1">
      <c r="A25" s="6">
        <v>16</v>
      </c>
      <c r="B25" s="6" t="s">
        <v>46</v>
      </c>
      <c r="C25" s="6" t="s">
        <v>47</v>
      </c>
      <c r="D25" s="6">
        <v>3</v>
      </c>
      <c r="E25" s="6">
        <v>0</v>
      </c>
      <c r="F25" s="9">
        <f t="shared" si="0"/>
        <v>58</v>
      </c>
      <c r="G25" s="9">
        <f t="shared" si="1"/>
        <v>1.5</v>
      </c>
      <c r="H25" s="9">
        <f t="shared" si="2"/>
        <v>87</v>
      </c>
    </row>
    <row r="26" spans="1:8" ht="48" customHeight="1">
      <c r="A26" s="6">
        <v>17</v>
      </c>
      <c r="B26" s="6" t="s">
        <v>48</v>
      </c>
      <c r="C26" s="6" t="s">
        <v>49</v>
      </c>
      <c r="D26" s="6">
        <v>4</v>
      </c>
      <c r="E26" s="6">
        <v>0</v>
      </c>
      <c r="F26" s="9">
        <f t="shared" si="0"/>
        <v>71</v>
      </c>
      <c r="G26" s="9">
        <f t="shared" si="1"/>
        <v>1.5</v>
      </c>
      <c r="H26" s="9">
        <f t="shared" si="2"/>
        <v>106.5</v>
      </c>
    </row>
    <row r="27" spans="1:8" ht="48" customHeight="1">
      <c r="A27" s="6">
        <v>18</v>
      </c>
      <c r="B27" s="6" t="s">
        <v>50</v>
      </c>
      <c r="C27" s="6" t="s">
        <v>51</v>
      </c>
      <c r="D27" s="6">
        <v>3</v>
      </c>
      <c r="E27" s="6">
        <v>0</v>
      </c>
      <c r="F27" s="9">
        <f t="shared" si="0"/>
        <v>58</v>
      </c>
      <c r="G27" s="9">
        <f t="shared" si="1"/>
        <v>1.5</v>
      </c>
      <c r="H27" s="9">
        <f t="shared" si="2"/>
        <v>87</v>
      </c>
    </row>
    <row r="28" spans="1:8" ht="48" customHeight="1">
      <c r="A28" s="6">
        <v>19</v>
      </c>
      <c r="B28" s="6" t="s">
        <v>52</v>
      </c>
      <c r="C28" s="6" t="s">
        <v>53</v>
      </c>
      <c r="D28" s="6">
        <v>3</v>
      </c>
      <c r="E28" s="6">
        <v>0</v>
      </c>
      <c r="F28" s="9">
        <f t="shared" si="0"/>
        <v>58</v>
      </c>
      <c r="G28" s="9">
        <f t="shared" si="1"/>
        <v>1.5</v>
      </c>
      <c r="H28" s="9">
        <f t="shared" si="2"/>
        <v>87</v>
      </c>
    </row>
    <row r="29" spans="1:8" ht="48" customHeight="1">
      <c r="A29" s="6">
        <v>20</v>
      </c>
      <c r="B29" s="6" t="s">
        <v>54</v>
      </c>
      <c r="C29" s="6" t="s">
        <v>55</v>
      </c>
      <c r="D29" s="6">
        <v>5</v>
      </c>
      <c r="E29" s="6">
        <v>0</v>
      </c>
      <c r="F29" s="9">
        <f t="shared" si="0"/>
        <v>94</v>
      </c>
      <c r="G29" s="9">
        <f t="shared" si="1"/>
        <v>1.5</v>
      </c>
      <c r="H29" s="9">
        <f t="shared" si="2"/>
        <v>141</v>
      </c>
    </row>
    <row r="30" spans="1:8" ht="42" customHeight="1">
      <c r="A30" s="5"/>
      <c r="B30" s="5" t="s">
        <v>56</v>
      </c>
      <c r="C30" s="5"/>
      <c r="D30" s="5"/>
      <c r="E30" s="5"/>
      <c r="F30" s="10">
        <f>SUM(F10:F29)</f>
        <v>1196</v>
      </c>
      <c r="G30" s="10"/>
      <c r="H30" s="10">
        <f>SUM(H10:H29)</f>
        <v>1794</v>
      </c>
    </row>
    <row r="31" spans="1:8" ht="22.05" customHeight="1">
      <c r="A31" s="1"/>
      <c r="B31" s="1"/>
      <c r="C31" s="1"/>
      <c r="D31" s="1"/>
      <c r="E31" s="1"/>
      <c r="F31" s="1"/>
      <c r="G31" s="1"/>
      <c r="H31" s="1"/>
    </row>
    <row r="32" spans="1:8" ht="24" customHeight="1">
      <c r="A32" s="14" t="s">
        <v>57</v>
      </c>
      <c r="B32" s="14"/>
      <c r="C32" s="14"/>
      <c r="D32" s="14"/>
      <c r="E32" s="14"/>
      <c r="F32" s="14"/>
      <c r="G32" s="14"/>
      <c r="H32" s="14"/>
    </row>
    <row r="33" spans="1:8" ht="30" customHeight="1">
      <c r="A33" s="1"/>
      <c r="B33" s="13" t="s">
        <v>58</v>
      </c>
      <c r="C33" s="13"/>
      <c r="D33" s="13"/>
      <c r="E33" s="13"/>
      <c r="F33" s="13"/>
      <c r="G33" s="1" t="s">
        <v>59</v>
      </c>
      <c r="H33" s="2">
        <v>28</v>
      </c>
    </row>
    <row r="34" spans="1:8" ht="30" customHeight="1">
      <c r="A34" s="1"/>
      <c r="B34" s="13" t="s">
        <v>60</v>
      </c>
      <c r="C34" s="13"/>
      <c r="D34" s="13"/>
      <c r="E34" s="13"/>
      <c r="F34" s="13"/>
      <c r="G34" s="1" t="s">
        <v>59</v>
      </c>
      <c r="H34" s="2">
        <v>20</v>
      </c>
    </row>
    <row r="35" spans="1:8" ht="30" customHeight="1">
      <c r="A35" s="1"/>
      <c r="B35" s="13" t="s">
        <v>61</v>
      </c>
      <c r="C35" s="13"/>
      <c r="D35" s="13"/>
      <c r="E35" s="13"/>
      <c r="F35" s="13"/>
      <c r="G35" s="1" t="s">
        <v>59</v>
      </c>
      <c r="H35" s="2">
        <v>24</v>
      </c>
    </row>
    <row r="36" spans="1:8" ht="30" customHeight="1">
      <c r="A36" s="1"/>
      <c r="B36" s="13" t="s">
        <v>62</v>
      </c>
      <c r="C36" s="13"/>
      <c r="D36" s="13"/>
      <c r="E36" s="13"/>
      <c r="F36" s="13"/>
      <c r="G36" s="1" t="s">
        <v>59</v>
      </c>
      <c r="H36" s="2">
        <f>SUM(H33:H35)</f>
        <v>72</v>
      </c>
    </row>
    <row r="37" spans="1:8" ht="22.05" customHeight="1">
      <c r="A37" s="1"/>
      <c r="B37" s="1"/>
      <c r="C37" s="1"/>
      <c r="D37" s="1"/>
      <c r="E37" s="1"/>
      <c r="F37" s="1"/>
      <c r="G37" s="1"/>
      <c r="H37" s="2"/>
    </row>
    <row r="38" spans="1:8" ht="24" customHeight="1">
      <c r="A38" s="14" t="s">
        <v>63</v>
      </c>
      <c r="B38" s="14"/>
      <c r="C38" s="14"/>
      <c r="D38" s="14"/>
      <c r="E38" s="14"/>
      <c r="F38" s="14"/>
      <c r="G38" s="14"/>
      <c r="H38" s="15"/>
    </row>
    <row r="39" spans="1:8" ht="30" customHeight="1">
      <c r="A39" s="1"/>
      <c r="B39" s="13" t="s">
        <v>64</v>
      </c>
      <c r="C39" s="13"/>
      <c r="D39" s="13"/>
      <c r="E39" s="13"/>
      <c r="F39" s="13"/>
      <c r="G39" s="1" t="s">
        <v>65</v>
      </c>
      <c r="H39" s="7">
        <v>0.25</v>
      </c>
    </row>
    <row r="40" spans="1:8" ht="30" customHeight="1">
      <c r="A40" s="1"/>
      <c r="B40" s="13" t="s">
        <v>66</v>
      </c>
      <c r="C40" s="13"/>
      <c r="D40" s="13"/>
      <c r="E40" s="13"/>
      <c r="F40" s="13"/>
      <c r="G40" s="1" t="s">
        <v>59</v>
      </c>
      <c r="H40" s="2">
        <f>H30*H39</f>
        <v>448.5</v>
      </c>
    </row>
    <row r="41" spans="1:8" ht="22.05" customHeight="1">
      <c r="A41" s="1"/>
      <c r="B41" s="1"/>
      <c r="C41" s="1"/>
      <c r="D41" s="1"/>
      <c r="E41" s="1"/>
      <c r="F41" s="1"/>
      <c r="G41" s="1"/>
      <c r="H41" s="2"/>
    </row>
    <row r="42" spans="1:8" ht="24" customHeight="1">
      <c r="A42" s="14" t="s">
        <v>67</v>
      </c>
      <c r="B42" s="14"/>
      <c r="C42" s="14"/>
      <c r="D42" s="14"/>
      <c r="E42" s="14"/>
      <c r="F42" s="14"/>
      <c r="G42" s="14"/>
      <c r="H42" s="15"/>
    </row>
    <row r="43" spans="1:8" ht="30" customHeight="1">
      <c r="A43" s="1"/>
      <c r="B43" s="13" t="s">
        <v>68</v>
      </c>
      <c r="C43" s="13"/>
      <c r="D43" s="13"/>
      <c r="E43" s="13"/>
      <c r="F43" s="13"/>
      <c r="G43" s="1" t="s">
        <v>69</v>
      </c>
      <c r="H43" s="2">
        <v>1.1000000000000001</v>
      </c>
    </row>
    <row r="44" spans="1:8" ht="30" customHeight="1">
      <c r="A44" s="1"/>
      <c r="B44" s="13" t="s">
        <v>70</v>
      </c>
      <c r="C44" s="13"/>
      <c r="D44" s="13"/>
      <c r="E44" s="13"/>
      <c r="F44" s="13"/>
      <c r="G44" s="1" t="s">
        <v>69</v>
      </c>
      <c r="H44" s="2">
        <v>1.05</v>
      </c>
    </row>
    <row r="45" spans="1:8" ht="30" customHeight="1">
      <c r="A45" s="1"/>
      <c r="B45" s="13" t="s">
        <v>71</v>
      </c>
      <c r="C45" s="13"/>
      <c r="D45" s="13"/>
      <c r="E45" s="13"/>
      <c r="F45" s="13"/>
      <c r="G45" s="1" t="s">
        <v>69</v>
      </c>
      <c r="H45" s="2">
        <v>1.08</v>
      </c>
    </row>
    <row r="46" spans="1:8" ht="30" customHeight="1">
      <c r="A46" s="1"/>
      <c r="B46" s="13" t="s">
        <v>72</v>
      </c>
      <c r="C46" s="13"/>
      <c r="D46" s="13"/>
      <c r="E46" s="13"/>
      <c r="F46" s="13"/>
      <c r="G46" s="1" t="s">
        <v>69</v>
      </c>
      <c r="H46" s="11">
        <f>PRODUCT(H43:H45)</f>
        <v>1.2474000000000003</v>
      </c>
    </row>
    <row r="47" spans="1:8" ht="22.05" customHeight="1">
      <c r="A47" s="1"/>
      <c r="B47" s="1"/>
      <c r="C47" s="1"/>
      <c r="D47" s="1"/>
      <c r="E47" s="1"/>
      <c r="F47" s="1"/>
      <c r="G47" s="1"/>
      <c r="H47" s="2"/>
    </row>
    <row r="48" spans="1:8" ht="24" customHeight="1">
      <c r="A48" s="14" t="s">
        <v>73</v>
      </c>
      <c r="B48" s="14"/>
      <c r="C48" s="14"/>
      <c r="D48" s="14"/>
      <c r="E48" s="14"/>
      <c r="F48" s="14"/>
      <c r="G48" s="14"/>
      <c r="H48" s="15"/>
    </row>
    <row r="49" spans="1:8" ht="30" customHeight="1">
      <c r="A49" s="1"/>
      <c r="B49" s="13" t="s">
        <v>74</v>
      </c>
      <c r="C49" s="13"/>
      <c r="D49" s="13"/>
      <c r="E49" s="13"/>
      <c r="F49" s="13"/>
      <c r="G49" s="1" t="s">
        <v>59</v>
      </c>
      <c r="H49" s="2">
        <v>16</v>
      </c>
    </row>
    <row r="50" spans="1:8" ht="30" customHeight="1">
      <c r="A50" s="1"/>
      <c r="B50" s="13" t="s">
        <v>75</v>
      </c>
      <c r="C50" s="13"/>
      <c r="D50" s="13"/>
      <c r="E50" s="13"/>
      <c r="F50" s="13"/>
      <c r="G50" s="1" t="s">
        <v>59</v>
      </c>
      <c r="H50" s="2">
        <v>24</v>
      </c>
    </row>
    <row r="51" spans="1:8" ht="30" customHeight="1">
      <c r="A51" s="1"/>
      <c r="B51" s="13" t="s">
        <v>76</v>
      </c>
      <c r="C51" s="13"/>
      <c r="D51" s="13"/>
      <c r="E51" s="13"/>
      <c r="F51" s="13"/>
      <c r="G51" s="1" t="s">
        <v>59</v>
      </c>
      <c r="H51" s="2">
        <v>16</v>
      </c>
    </row>
    <row r="52" spans="1:8" ht="30" customHeight="1">
      <c r="A52" s="1"/>
      <c r="B52" s="13" t="s">
        <v>77</v>
      </c>
      <c r="C52" s="13"/>
      <c r="D52" s="13"/>
      <c r="E52" s="13"/>
      <c r="F52" s="13"/>
      <c r="G52" s="1" t="s">
        <v>59</v>
      </c>
      <c r="H52" s="2">
        <f>SUM(H49:H51)</f>
        <v>56</v>
      </c>
    </row>
    <row r="53" spans="1:8" ht="22.05" customHeight="1">
      <c r="A53" s="1"/>
      <c r="B53" s="1"/>
      <c r="C53" s="1"/>
      <c r="D53" s="1"/>
      <c r="E53" s="1"/>
      <c r="F53" s="1"/>
      <c r="G53" s="1"/>
      <c r="H53" s="2"/>
    </row>
    <row r="54" spans="1:8" ht="24" customHeight="1">
      <c r="A54" s="14" t="s">
        <v>78</v>
      </c>
      <c r="B54" s="14"/>
      <c r="C54" s="14"/>
      <c r="D54" s="14"/>
      <c r="E54" s="14"/>
      <c r="F54" s="14"/>
      <c r="G54" s="14"/>
      <c r="H54" s="15"/>
    </row>
    <row r="55" spans="1:8" ht="22.05" customHeight="1">
      <c r="A55" s="1"/>
      <c r="B55" s="1">
        <v>9</v>
      </c>
      <c r="C55" s="1" t="s">
        <v>79</v>
      </c>
      <c r="D55" s="1"/>
      <c r="E55" s="1"/>
      <c r="F55" s="1">
        <v>2500</v>
      </c>
      <c r="G55" s="1" t="s">
        <v>80</v>
      </c>
      <c r="H55" s="2">
        <f>B55*F55</f>
        <v>22500</v>
      </c>
    </row>
    <row r="56" spans="1:8" ht="22.05" customHeight="1">
      <c r="A56" s="1"/>
      <c r="B56" s="1">
        <v>1</v>
      </c>
      <c r="C56" s="1" t="s">
        <v>81</v>
      </c>
      <c r="D56" s="1"/>
      <c r="E56" s="1"/>
      <c r="F56" s="1">
        <v>1500</v>
      </c>
      <c r="G56" s="1" t="s">
        <v>82</v>
      </c>
      <c r="H56" s="2">
        <f>B56*F56</f>
        <v>1500</v>
      </c>
    </row>
    <row r="57" spans="1:8" ht="30" customHeight="1">
      <c r="A57" s="1"/>
      <c r="B57" s="13" t="s">
        <v>83</v>
      </c>
      <c r="C57" s="13"/>
      <c r="D57" s="13"/>
      <c r="E57" s="13"/>
      <c r="F57" s="13"/>
      <c r="G57" s="1" t="s">
        <v>84</v>
      </c>
      <c r="H57" s="2">
        <f>SUM(H55:H56)</f>
        <v>24000</v>
      </c>
    </row>
    <row r="58" spans="1:8" ht="22.05" customHeight="1">
      <c r="A58" s="1"/>
      <c r="B58" s="1"/>
      <c r="C58" s="1"/>
      <c r="D58" s="1"/>
      <c r="E58" s="1"/>
      <c r="F58" s="1"/>
      <c r="G58" s="1"/>
      <c r="H58" s="2"/>
    </row>
    <row r="59" spans="1:8" ht="24" customHeight="1">
      <c r="A59" s="14" t="s">
        <v>85</v>
      </c>
      <c r="B59" s="14"/>
      <c r="C59" s="14"/>
      <c r="D59" s="14"/>
      <c r="E59" s="14"/>
      <c r="F59" s="14"/>
      <c r="G59" s="14"/>
      <c r="H59" s="15"/>
    </row>
    <row r="60" spans="1:8" ht="30" customHeight="1">
      <c r="A60" s="1"/>
      <c r="B60" s="13" t="s">
        <v>86</v>
      </c>
      <c r="C60" s="13"/>
      <c r="D60" s="13"/>
      <c r="E60" s="13"/>
      <c r="F60" s="13"/>
      <c r="G60" s="1" t="s">
        <v>59</v>
      </c>
      <c r="H60" s="2">
        <f>H30+H36+H40</f>
        <v>2314.5</v>
      </c>
    </row>
    <row r="61" spans="1:8" ht="30" customHeight="1">
      <c r="A61" s="1"/>
      <c r="B61" s="13" t="s">
        <v>87</v>
      </c>
      <c r="C61" s="13"/>
      <c r="D61" s="13"/>
      <c r="E61" s="13"/>
      <c r="F61" s="13"/>
      <c r="G61" s="1" t="s">
        <v>59</v>
      </c>
      <c r="H61" s="2">
        <f>H60*H46</f>
        <v>2887.1073000000006</v>
      </c>
    </row>
    <row r="62" spans="1:8" ht="30" customHeight="1">
      <c r="A62" s="1"/>
      <c r="B62" s="13" t="s">
        <v>88</v>
      </c>
      <c r="C62" s="13"/>
      <c r="D62" s="13"/>
      <c r="E62" s="13"/>
      <c r="F62" s="13"/>
      <c r="G62" s="1" t="s">
        <v>59</v>
      </c>
      <c r="H62" s="2">
        <f>H61+H52</f>
        <v>2943.1073000000006</v>
      </c>
    </row>
    <row r="63" spans="1:8" ht="30" customHeight="1">
      <c r="A63" s="1"/>
      <c r="B63" s="13" t="s">
        <v>89</v>
      </c>
      <c r="C63" s="13"/>
      <c r="D63" s="13"/>
      <c r="E63" s="13"/>
      <c r="F63" s="13"/>
      <c r="G63" s="1" t="s">
        <v>90</v>
      </c>
      <c r="H63" s="2">
        <v>550</v>
      </c>
    </row>
    <row r="64" spans="1:8" ht="30" customHeight="1">
      <c r="A64" s="1"/>
      <c r="B64" s="13" t="s">
        <v>91</v>
      </c>
      <c r="C64" s="13"/>
      <c r="D64" s="13"/>
      <c r="E64" s="13"/>
      <c r="F64" s="13"/>
      <c r="G64" s="1" t="s">
        <v>84</v>
      </c>
      <c r="H64" s="2">
        <f>H62*H63</f>
        <v>1618709.0150000004</v>
      </c>
    </row>
    <row r="65" spans="1:8" ht="30" customHeight="1">
      <c r="A65" s="1"/>
      <c r="B65" s="13" t="s">
        <v>92</v>
      </c>
      <c r="C65" s="13"/>
      <c r="D65" s="13"/>
      <c r="E65" s="13"/>
      <c r="F65" s="13"/>
      <c r="G65" s="1" t="s">
        <v>84</v>
      </c>
      <c r="H65" s="2">
        <f>H64+H57</f>
        <v>1642709.0150000004</v>
      </c>
    </row>
    <row r="66" spans="1:8" ht="22.05" customHeight="1">
      <c r="A66" s="1"/>
      <c r="B66" s="1"/>
      <c r="C66" s="1"/>
      <c r="D66" s="1"/>
      <c r="E66" s="1"/>
      <c r="F66" s="1"/>
      <c r="G66" s="1"/>
      <c r="H66" s="2"/>
    </row>
    <row r="67" spans="1:8" ht="24" customHeight="1">
      <c r="A67" s="14" t="s">
        <v>93</v>
      </c>
      <c r="B67" s="14"/>
      <c r="C67" s="14"/>
      <c r="D67" s="14"/>
      <c r="E67" s="14"/>
      <c r="F67" s="14"/>
      <c r="G67" s="14"/>
      <c r="H67" s="15"/>
    </row>
    <row r="68" spans="1:8" ht="30" customHeight="1">
      <c r="A68" s="1"/>
      <c r="B68" s="13" t="s">
        <v>94</v>
      </c>
      <c r="C68" s="13"/>
      <c r="D68" s="13"/>
      <c r="E68" s="13"/>
      <c r="F68" s="13"/>
      <c r="G68" s="1" t="s">
        <v>95</v>
      </c>
      <c r="H68" s="2">
        <v>160</v>
      </c>
    </row>
    <row r="69" spans="1:8" ht="30" customHeight="1">
      <c r="A69" s="1"/>
      <c r="B69" s="13" t="s">
        <v>96</v>
      </c>
      <c r="C69" s="13"/>
      <c r="D69" s="13"/>
      <c r="E69" s="13"/>
      <c r="F69" s="13"/>
      <c r="G69" s="1" t="s">
        <v>97</v>
      </c>
      <c r="H69" s="2">
        <f>(H30+H36)*H46/H68</f>
        <v>14.547802500000003</v>
      </c>
    </row>
    <row r="70" spans="1:8" ht="30" customHeight="1">
      <c r="A70" s="1"/>
      <c r="B70" s="13" t="s">
        <v>98</v>
      </c>
      <c r="C70" s="13"/>
      <c r="D70" s="13"/>
      <c r="E70" s="13"/>
      <c r="F70" s="13"/>
      <c r="G70" s="1" t="s">
        <v>99</v>
      </c>
      <c r="H70" s="2">
        <f>2.5*H69^(1/3)</f>
        <v>6.1029405697203529</v>
      </c>
    </row>
    <row r="71" spans="1:8" ht="30" customHeight="1">
      <c r="A71" s="1"/>
      <c r="B71" s="13" t="s">
        <v>100</v>
      </c>
      <c r="C71" s="13"/>
      <c r="D71" s="13"/>
      <c r="E71" s="13"/>
      <c r="F71" s="13"/>
      <c r="G71" s="1" t="s">
        <v>101</v>
      </c>
      <c r="H71" s="2">
        <f>H62/H68/H70</f>
        <v>3.0140258478451587</v>
      </c>
    </row>
    <row r="72" spans="1:8" ht="30" customHeight="1">
      <c r="A72" s="1"/>
      <c r="B72" s="13" t="s">
        <v>102</v>
      </c>
      <c r="C72" s="13"/>
      <c r="D72" s="13"/>
      <c r="E72" s="13"/>
      <c r="F72" s="13"/>
      <c r="G72" s="1" t="s">
        <v>101</v>
      </c>
      <c r="H72" s="4">
        <f>ROUNDUP(H71,0)</f>
        <v>4</v>
      </c>
    </row>
    <row r="73" spans="1:8" ht="30" customHeight="1">
      <c r="A73" s="1"/>
      <c r="B73" s="13" t="s">
        <v>103</v>
      </c>
      <c r="C73" s="13"/>
      <c r="D73" s="13"/>
      <c r="E73" s="13"/>
      <c r="F73" s="13"/>
      <c r="G73" s="1" t="s">
        <v>101</v>
      </c>
      <c r="H73" s="4">
        <v>6</v>
      </c>
    </row>
    <row r="74" spans="1:8" ht="30" customHeight="1">
      <c r="A74" s="1"/>
      <c r="B74" s="13" t="s">
        <v>104</v>
      </c>
      <c r="C74" s="13"/>
      <c r="D74" s="13"/>
      <c r="E74" s="13"/>
      <c r="F74" s="13"/>
      <c r="G74" s="1" t="s">
        <v>65</v>
      </c>
      <c r="H74" s="8">
        <f>H71/H73</f>
        <v>0.50233764130752645</v>
      </c>
    </row>
    <row r="75" spans="1:8" ht="30" customHeight="1">
      <c r="A75" s="1"/>
      <c r="B75" s="13" t="s">
        <v>105</v>
      </c>
      <c r="C75" s="13"/>
      <c r="D75" s="13"/>
      <c r="E75" s="13"/>
      <c r="F75" s="13"/>
      <c r="G75" s="1" t="s">
        <v>99</v>
      </c>
      <c r="H75" s="2">
        <v>9</v>
      </c>
    </row>
    <row r="76" spans="1:8" ht="30" customHeight="1">
      <c r="A76" s="1"/>
      <c r="B76" s="13" t="s">
        <v>106</v>
      </c>
      <c r="C76" s="13"/>
      <c r="D76" s="13"/>
      <c r="E76" s="13"/>
      <c r="F76" s="13"/>
      <c r="G76" s="1" t="s">
        <v>65</v>
      </c>
      <c r="H76" s="8">
        <f>H62/(H68*H73*H75)</f>
        <v>0.34063741898148153</v>
      </c>
    </row>
    <row r="77" spans="1:8" ht="22.05" customHeight="1">
      <c r="A77" s="1"/>
      <c r="B77" s="1"/>
      <c r="C77" s="1"/>
      <c r="D77" s="1"/>
      <c r="E77" s="1"/>
      <c r="F77" s="1"/>
      <c r="G77" s="1"/>
      <c r="H77" s="1"/>
    </row>
    <row r="78" spans="1:8" ht="22.05" customHeight="1">
      <c r="A78" s="5" t="s">
        <v>11</v>
      </c>
      <c r="B78" s="5" t="s">
        <v>107</v>
      </c>
      <c r="C78" s="5" t="s">
        <v>108</v>
      </c>
      <c r="D78" s="1"/>
      <c r="E78" s="1"/>
      <c r="F78" s="1"/>
      <c r="G78" s="1"/>
      <c r="H78" s="1"/>
    </row>
    <row r="79" spans="1:8" ht="22.05" customHeight="1">
      <c r="A79" s="6">
        <v>1</v>
      </c>
      <c r="B79" s="6">
        <v>32</v>
      </c>
      <c r="C79" s="6">
        <v>128</v>
      </c>
      <c r="D79" s="1"/>
      <c r="E79" s="1"/>
      <c r="F79" s="1"/>
      <c r="G79" s="1"/>
      <c r="H79" s="1"/>
    </row>
    <row r="80" spans="1:8" ht="22.05" customHeight="1">
      <c r="A80" s="6">
        <v>2</v>
      </c>
      <c r="B80" s="6">
        <v>45</v>
      </c>
      <c r="C80" s="6">
        <v>160</v>
      </c>
      <c r="D80" s="1"/>
      <c r="E80" s="1"/>
      <c r="F80" s="1"/>
      <c r="G80" s="1"/>
      <c r="H80" s="1"/>
    </row>
    <row r="81" spans="1:8" ht="22.05" customHeight="1">
      <c r="A81" s="6">
        <v>3</v>
      </c>
      <c r="B81" s="6">
        <v>58</v>
      </c>
      <c r="C81" s="6">
        <v>192</v>
      </c>
      <c r="D81" s="1"/>
      <c r="E81" s="1"/>
      <c r="F81" s="1"/>
      <c r="G81" s="1"/>
      <c r="H81" s="1"/>
    </row>
    <row r="82" spans="1:8" ht="22.05" customHeight="1">
      <c r="A82" s="6">
        <v>4</v>
      </c>
      <c r="B82" s="6">
        <v>71</v>
      </c>
      <c r="C82" s="6">
        <v>224</v>
      </c>
      <c r="D82" s="1"/>
      <c r="E82" s="1"/>
      <c r="F82" s="1"/>
      <c r="G82" s="1"/>
      <c r="H82" s="1"/>
    </row>
    <row r="83" spans="1:8" ht="22.05" customHeight="1">
      <c r="A83" s="6">
        <v>5</v>
      </c>
      <c r="B83" s="6">
        <v>94</v>
      </c>
      <c r="C83" s="6">
        <v>256</v>
      </c>
      <c r="D83" s="1"/>
      <c r="E83" s="1"/>
      <c r="F83" s="1"/>
      <c r="G83" s="1"/>
      <c r="H83" s="1"/>
    </row>
    <row r="84" spans="1:8" ht="22.05" customHeight="1">
      <c r="A84" s="1"/>
      <c r="B84" s="1"/>
      <c r="C84" s="1"/>
      <c r="D84" s="1"/>
      <c r="E84" s="1"/>
      <c r="F84" s="1"/>
      <c r="G84" s="1"/>
      <c r="H84" s="1"/>
    </row>
    <row r="85" spans="1:8" ht="48" customHeight="1">
      <c r="A85" s="13" t="s">
        <v>109</v>
      </c>
      <c r="B85" s="13"/>
      <c r="C85" s="13"/>
      <c r="D85" s="13"/>
      <c r="E85" s="13"/>
      <c r="F85" s="13"/>
      <c r="G85" s="13"/>
      <c r="H85" s="13"/>
    </row>
    <row r="86" spans="1:8" ht="48" customHeight="1">
      <c r="A86" s="13" t="s">
        <v>110</v>
      </c>
      <c r="B86" s="13"/>
      <c r="C86" s="13"/>
      <c r="D86" s="13"/>
      <c r="E86" s="13"/>
      <c r="F86" s="13"/>
      <c r="G86" s="13"/>
      <c r="H86" s="13"/>
    </row>
    <row r="87" spans="1:8" ht="48" customHeight="1">
      <c r="A87" s="13" t="s">
        <v>111</v>
      </c>
      <c r="B87" s="13"/>
      <c r="C87" s="13"/>
      <c r="D87" s="13"/>
      <c r="E87" s="13"/>
      <c r="F87" s="13"/>
      <c r="G87" s="13"/>
      <c r="H87" s="13"/>
    </row>
    <row r="88" spans="1:8" ht="48" customHeight="1">
      <c r="A88" s="13" t="s">
        <v>112</v>
      </c>
      <c r="B88" s="13"/>
      <c r="C88" s="13"/>
      <c r="D88" s="13"/>
      <c r="E88" s="13"/>
      <c r="F88" s="13"/>
      <c r="G88" s="13"/>
      <c r="H88" s="13"/>
    </row>
    <row r="89" spans="1:8" ht="48" customHeight="1">
      <c r="A89" s="13" t="s">
        <v>222</v>
      </c>
      <c r="B89" s="13"/>
      <c r="C89" s="13"/>
      <c r="D89" s="13"/>
      <c r="E89" s="13"/>
      <c r="F89" s="13"/>
      <c r="G89" s="13"/>
      <c r="H89" s="13"/>
    </row>
    <row r="90" spans="1:8" ht="48" customHeight="1">
      <c r="A90" s="13" t="s">
        <v>113</v>
      </c>
      <c r="B90" s="13"/>
      <c r="C90" s="13"/>
      <c r="D90" s="13"/>
      <c r="E90" s="13"/>
      <c r="F90" s="13"/>
      <c r="G90" s="13"/>
      <c r="H90" s="13"/>
    </row>
    <row r="91" spans="1:8" ht="48" customHeight="1">
      <c r="A91" s="13" t="s">
        <v>114</v>
      </c>
      <c r="B91" s="13"/>
      <c r="C91" s="13"/>
      <c r="D91" s="13"/>
      <c r="E91" s="13"/>
      <c r="F91" s="13"/>
      <c r="G91" s="13"/>
      <c r="H91" s="13"/>
    </row>
    <row r="92" spans="1:8" ht="48" customHeight="1">
      <c r="A92" s="13" t="s">
        <v>115</v>
      </c>
      <c r="B92" s="13"/>
      <c r="C92" s="13"/>
      <c r="D92" s="13"/>
      <c r="E92" s="13"/>
      <c r="F92" s="13"/>
      <c r="G92" s="13"/>
      <c r="H92" s="13"/>
    </row>
  </sheetData>
  <mergeCells count="48">
    <mergeCell ref="A90:H90"/>
    <mergeCell ref="A91:H91"/>
    <mergeCell ref="A92:H92"/>
    <mergeCell ref="A85:H85"/>
    <mergeCell ref="A86:H86"/>
    <mergeCell ref="A87:H87"/>
    <mergeCell ref="A88:H88"/>
    <mergeCell ref="A89:H89"/>
    <mergeCell ref="B72:F72"/>
    <mergeCell ref="B73:F73"/>
    <mergeCell ref="B74:F74"/>
    <mergeCell ref="B75:F75"/>
    <mergeCell ref="B76:F76"/>
    <mergeCell ref="B65:F65"/>
    <mergeCell ref="B68:F68"/>
    <mergeCell ref="B69:F69"/>
    <mergeCell ref="B70:F70"/>
    <mergeCell ref="B71:F71"/>
    <mergeCell ref="B39:F39"/>
    <mergeCell ref="B40:F40"/>
    <mergeCell ref="B43:F43"/>
    <mergeCell ref="B44:F44"/>
    <mergeCell ref="B45:F45"/>
    <mergeCell ref="A42:H42"/>
    <mergeCell ref="A48:H48"/>
    <mergeCell ref="A54:H54"/>
    <mergeCell ref="A59:H59"/>
    <mergeCell ref="A67:H67"/>
    <mergeCell ref="B46:F46"/>
    <mergeCell ref="B49:F49"/>
    <mergeCell ref="B50:F50"/>
    <mergeCell ref="B51:F51"/>
    <mergeCell ref="B52:F52"/>
    <mergeCell ref="B57:F57"/>
    <mergeCell ref="B60:F60"/>
    <mergeCell ref="B61:F61"/>
    <mergeCell ref="B62:F62"/>
    <mergeCell ref="B63:F63"/>
    <mergeCell ref="B64:F64"/>
    <mergeCell ref="A1:H1"/>
    <mergeCell ref="A2:H2"/>
    <mergeCell ref="A7:H7"/>
    <mergeCell ref="A32:H32"/>
    <mergeCell ref="A38:H38"/>
    <mergeCell ref="B33:F33"/>
    <mergeCell ref="B34:F34"/>
    <mergeCell ref="B35:F35"/>
    <mergeCell ref="B36:F36"/>
  </mergeCells>
  <dataValidations count="2">
    <dataValidation type="whole" sqref="D10:D29" xr:uid="{00000000-0002-0000-0000-000000000000}">
      <formula1>1</formula1>
      <formula2>5</formula2>
    </dataValidation>
    <dataValidation type="whole" sqref="E10:E29" xr:uid="{00000000-0002-0000-0000-000001000000}">
      <formula1>0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3.8"/>
  <cols>
    <col min="1" max="1" width="24" customWidth="1"/>
    <col min="2" max="4" width="19" customWidth="1"/>
    <col min="5" max="5" width="60" customWidth="1"/>
  </cols>
  <sheetData>
    <row r="1" spans="1:5" ht="19.2" customHeight="1">
      <c r="A1" s="12" t="s">
        <v>116</v>
      </c>
      <c r="B1" s="12"/>
      <c r="C1" s="12"/>
      <c r="D1" s="12"/>
      <c r="E1" s="12"/>
    </row>
    <row r="2" spans="1:5" ht="17.55" customHeight="1">
      <c r="A2" s="1"/>
      <c r="B2" s="1"/>
      <c r="C2" s="1"/>
      <c r="D2" s="1"/>
      <c r="E2" s="1"/>
    </row>
    <row r="3" spans="1:5" ht="28.8" customHeight="1">
      <c r="A3" s="5" t="s">
        <v>117</v>
      </c>
      <c r="B3" s="5" t="s">
        <v>118</v>
      </c>
      <c r="C3" s="5" t="s">
        <v>119</v>
      </c>
      <c r="D3" s="5" t="s">
        <v>120</v>
      </c>
      <c r="E3" s="5" t="s">
        <v>121</v>
      </c>
    </row>
    <row r="4" spans="1:5" ht="49.65" customHeight="1">
      <c r="A4" s="6" t="s">
        <v>122</v>
      </c>
      <c r="B4" s="6"/>
      <c r="C4" s="6" t="s">
        <v>123</v>
      </c>
      <c r="D4" s="6"/>
      <c r="E4" s="6" t="s">
        <v>124</v>
      </c>
    </row>
    <row r="5" spans="1:5" ht="49.65" customHeight="1">
      <c r="A5" s="6" t="s">
        <v>125</v>
      </c>
      <c r="B5" s="6" t="s">
        <v>123</v>
      </c>
      <c r="C5" s="6"/>
      <c r="D5" s="6"/>
      <c r="E5" s="6" t="s">
        <v>126</v>
      </c>
    </row>
    <row r="6" spans="1:5" ht="49.65" customHeight="1">
      <c r="A6" s="6" t="s">
        <v>127</v>
      </c>
      <c r="B6" s="6"/>
      <c r="C6" s="6"/>
      <c r="D6" s="6" t="s">
        <v>123</v>
      </c>
      <c r="E6" s="6" t="s">
        <v>128</v>
      </c>
    </row>
    <row r="7" spans="1:5" ht="17.55" customHeight="1">
      <c r="A7" s="1"/>
      <c r="B7" s="1"/>
      <c r="C7" s="1"/>
      <c r="D7" s="1"/>
      <c r="E7" s="1"/>
    </row>
    <row r="8" spans="1:5" ht="33.6" customHeight="1">
      <c r="A8" s="13" t="s">
        <v>129</v>
      </c>
      <c r="B8" s="13"/>
      <c r="C8" s="13"/>
      <c r="D8" s="13"/>
      <c r="E8" s="13"/>
    </row>
    <row r="9" spans="1:5" ht="17.55" customHeight="1">
      <c r="A9" s="1"/>
      <c r="B9" s="1"/>
      <c r="C9" s="1"/>
      <c r="D9" s="1"/>
      <c r="E9" s="1"/>
    </row>
    <row r="10" spans="1:5" ht="25.65" customHeight="1">
      <c r="A10" s="13" t="s">
        <v>130</v>
      </c>
      <c r="B10" s="13"/>
      <c r="C10" s="13"/>
      <c r="D10" s="13"/>
      <c r="E10" s="13"/>
    </row>
    <row r="11" spans="1:5" ht="33.6" customHeight="1">
      <c r="A11" s="13" t="s">
        <v>131</v>
      </c>
      <c r="B11" s="13"/>
      <c r="C11" s="13"/>
      <c r="D11" s="13"/>
      <c r="E11" s="13"/>
    </row>
    <row r="12" spans="1:5" ht="17.55" customHeight="1">
      <c r="A12" s="1"/>
      <c r="B12" s="1"/>
      <c r="C12" s="1"/>
      <c r="D12" s="1"/>
      <c r="E12" s="1"/>
    </row>
    <row r="13" spans="1:5" ht="25.65" customHeight="1">
      <c r="A13" s="13" t="s">
        <v>132</v>
      </c>
      <c r="B13" s="13"/>
      <c r="C13" s="13"/>
      <c r="D13" s="13"/>
      <c r="E13" s="13"/>
    </row>
    <row r="14" spans="1:5" ht="17.55" customHeight="1">
      <c r="A14" s="1"/>
      <c r="B14" s="1"/>
      <c r="C14" s="1"/>
      <c r="D14" s="1"/>
      <c r="E14" s="1"/>
    </row>
  </sheetData>
  <mergeCells count="5">
    <mergeCell ref="A1:E1"/>
    <mergeCell ref="A8:E8"/>
    <mergeCell ref="A10:E10"/>
    <mergeCell ref="A11:E11"/>
    <mergeCell ref="A13:E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workbookViewId="0">
      <pane ySplit="6" topLeftCell="A7" activePane="bottomLeft" state="frozen"/>
      <selection pane="bottomLeft"/>
    </sheetView>
  </sheetViews>
  <sheetFormatPr defaultRowHeight="13.8"/>
  <cols>
    <col min="1" max="1" width="8" customWidth="1"/>
    <col min="2" max="2" width="48" customWidth="1"/>
    <col min="3" max="4" width="34" customWidth="1"/>
    <col min="5" max="5" width="20" customWidth="1"/>
    <col min="6" max="6" width="30" customWidth="1"/>
    <col min="7" max="7" width="11" customWidth="1"/>
  </cols>
  <sheetData>
    <row r="1" spans="1:7" ht="24" customHeight="1">
      <c r="A1" s="12" t="s">
        <v>133</v>
      </c>
      <c r="B1" s="12"/>
      <c r="C1" s="12"/>
      <c r="D1" s="12"/>
      <c r="E1" s="12"/>
      <c r="F1" s="12"/>
      <c r="G1" s="12"/>
    </row>
    <row r="2" spans="1:7" ht="34.049999999999997" customHeight="1">
      <c r="A2" s="13" t="s">
        <v>134</v>
      </c>
      <c r="B2" s="13"/>
      <c r="C2" s="13"/>
      <c r="D2" s="13"/>
      <c r="E2" s="13"/>
      <c r="F2" s="13"/>
      <c r="G2" s="13"/>
    </row>
    <row r="3" spans="1:7" ht="30" customHeight="1">
      <c r="A3" s="13" t="s">
        <v>135</v>
      </c>
      <c r="B3" s="13"/>
      <c r="C3" s="13"/>
      <c r="D3" s="13"/>
      <c r="E3" s="13"/>
      <c r="F3" s="13"/>
      <c r="G3" s="13"/>
    </row>
    <row r="4" spans="1:7" ht="24" customHeight="1">
      <c r="A4" s="13" t="s">
        <v>136</v>
      </c>
      <c r="B4" s="13"/>
      <c r="C4" s="13"/>
      <c r="D4" s="13"/>
      <c r="E4" s="13"/>
      <c r="F4" s="13"/>
      <c r="G4" s="13"/>
    </row>
    <row r="5" spans="1:7" ht="22.05" customHeight="1">
      <c r="A5" s="1"/>
      <c r="B5" s="1"/>
      <c r="C5" s="1"/>
      <c r="D5" s="1"/>
      <c r="E5" s="1"/>
      <c r="F5" s="1"/>
      <c r="G5" s="1"/>
    </row>
    <row r="6" spans="1:7" ht="31.95" customHeight="1">
      <c r="A6" s="5" t="s">
        <v>137</v>
      </c>
      <c r="B6" s="5" t="s">
        <v>138</v>
      </c>
      <c r="C6" s="5" t="s">
        <v>139</v>
      </c>
      <c r="D6" s="5" t="s">
        <v>140</v>
      </c>
      <c r="E6" s="5" t="s">
        <v>141</v>
      </c>
      <c r="F6" s="5" t="s">
        <v>142</v>
      </c>
      <c r="G6" s="5" t="s">
        <v>143</v>
      </c>
    </row>
    <row r="7" spans="1:7" ht="31.95" customHeight="1">
      <c r="A7" s="6" t="s">
        <v>144</v>
      </c>
      <c r="B7" s="6" t="s">
        <v>145</v>
      </c>
      <c r="C7" s="6">
        <v>5</v>
      </c>
      <c r="D7" s="6">
        <v>5</v>
      </c>
      <c r="E7" s="6">
        <v>5</v>
      </c>
      <c r="F7" s="9">
        <f t="shared" ref="F7:F18" si="0">IF(COUNT(C7:E7)=3,AVERAGE(C7:E7),NA())</f>
        <v>5</v>
      </c>
      <c r="G7" s="6">
        <f>RANK(F7,$F$7:$F$18,0)+COUNTIF($F$7:F7,F7)-1</f>
        <v>1</v>
      </c>
    </row>
    <row r="8" spans="1:7" ht="31.95" customHeight="1">
      <c r="A8" s="6" t="s">
        <v>146</v>
      </c>
      <c r="B8" s="6" t="s">
        <v>147</v>
      </c>
      <c r="C8" s="6">
        <v>5</v>
      </c>
      <c r="D8" s="6">
        <v>4</v>
      </c>
      <c r="E8" s="6">
        <v>5</v>
      </c>
      <c r="F8" s="9">
        <f t="shared" si="0"/>
        <v>4.666666666666667</v>
      </c>
      <c r="G8" s="6">
        <f>RANK(F8,$F$7:$F$18,0)+COUNTIF($F$7:F8,F8)-1</f>
        <v>2</v>
      </c>
    </row>
    <row r="9" spans="1:7" ht="31.95" customHeight="1">
      <c r="A9" s="6" t="s">
        <v>148</v>
      </c>
      <c r="B9" s="6" t="s">
        <v>149</v>
      </c>
      <c r="C9" s="6">
        <v>4</v>
      </c>
      <c r="D9" s="6">
        <v>5</v>
      </c>
      <c r="E9" s="6">
        <v>5</v>
      </c>
      <c r="F9" s="9">
        <f t="shared" si="0"/>
        <v>4.666666666666667</v>
      </c>
      <c r="G9" s="6">
        <f>RANK(F9,$F$7:$F$18,0)+COUNTIF($F$7:F9,F9)-1</f>
        <v>3</v>
      </c>
    </row>
    <row r="10" spans="1:7" ht="31.95" customHeight="1">
      <c r="A10" s="6" t="s">
        <v>150</v>
      </c>
      <c r="B10" s="6" t="s">
        <v>151</v>
      </c>
      <c r="C10" s="6">
        <v>4</v>
      </c>
      <c r="D10" s="6">
        <v>4</v>
      </c>
      <c r="E10" s="6">
        <v>5</v>
      </c>
      <c r="F10" s="9">
        <f t="shared" si="0"/>
        <v>4.333333333333333</v>
      </c>
      <c r="G10" s="6">
        <f>RANK(F10,$F$7:$F$18,0)+COUNTIF($F$7:F10,F10)-1</f>
        <v>4</v>
      </c>
    </row>
    <row r="11" spans="1:7" ht="31.95" customHeight="1">
      <c r="A11" s="6" t="s">
        <v>152</v>
      </c>
      <c r="B11" s="6" t="s">
        <v>153</v>
      </c>
      <c r="C11" s="6">
        <v>4</v>
      </c>
      <c r="D11" s="6">
        <v>4</v>
      </c>
      <c r="E11" s="6">
        <v>4</v>
      </c>
      <c r="F11" s="9">
        <f t="shared" si="0"/>
        <v>4</v>
      </c>
      <c r="G11" s="6">
        <f>RANK(F11,$F$7:$F$18,0)+COUNTIF($F$7:F11,F11)-1</f>
        <v>5</v>
      </c>
    </row>
    <row r="12" spans="1:7" ht="31.95" customHeight="1">
      <c r="A12" s="6" t="s">
        <v>154</v>
      </c>
      <c r="B12" s="6" t="s">
        <v>155</v>
      </c>
      <c r="C12" s="6">
        <v>4</v>
      </c>
      <c r="D12" s="6">
        <v>3</v>
      </c>
      <c r="E12" s="6">
        <v>4</v>
      </c>
      <c r="F12" s="9">
        <f t="shared" si="0"/>
        <v>3.6666666666666665</v>
      </c>
      <c r="G12" s="6">
        <f>RANK(F12,$F$7:$F$18,0)+COUNTIF($F$7:F12,F12)-1</f>
        <v>6</v>
      </c>
    </row>
    <row r="13" spans="1:7" ht="31.95" customHeight="1">
      <c r="A13" s="6" t="s">
        <v>156</v>
      </c>
      <c r="B13" s="6" t="s">
        <v>157</v>
      </c>
      <c r="C13" s="6">
        <v>3</v>
      </c>
      <c r="D13" s="6">
        <v>4</v>
      </c>
      <c r="E13" s="6">
        <v>4</v>
      </c>
      <c r="F13" s="9">
        <f t="shared" si="0"/>
        <v>3.6666666666666665</v>
      </c>
      <c r="G13" s="6">
        <f>RANK(F13,$F$7:$F$18,0)+COUNTIF($F$7:F13,F13)-1</f>
        <v>7</v>
      </c>
    </row>
    <row r="14" spans="1:7" ht="31.95" customHeight="1">
      <c r="A14" s="6" t="s">
        <v>158</v>
      </c>
      <c r="B14" s="6" t="s">
        <v>159</v>
      </c>
      <c r="C14" s="6">
        <v>3</v>
      </c>
      <c r="D14" s="6">
        <v>4</v>
      </c>
      <c r="E14" s="6">
        <v>3</v>
      </c>
      <c r="F14" s="9">
        <f t="shared" si="0"/>
        <v>3.3333333333333335</v>
      </c>
      <c r="G14" s="6">
        <f>RANK(F14,$F$7:$F$18,0)+COUNTIF($F$7:F14,F14)-1</f>
        <v>8</v>
      </c>
    </row>
    <row r="15" spans="1:7" ht="31.95" customHeight="1">
      <c r="A15" s="6" t="s">
        <v>160</v>
      </c>
      <c r="B15" s="6" t="s">
        <v>161</v>
      </c>
      <c r="C15" s="6">
        <v>3</v>
      </c>
      <c r="D15" s="6">
        <v>3</v>
      </c>
      <c r="E15" s="6">
        <v>4</v>
      </c>
      <c r="F15" s="9">
        <f t="shared" si="0"/>
        <v>3.3333333333333335</v>
      </c>
      <c r="G15" s="6">
        <f>RANK(F15,$F$7:$F$18,0)+COUNTIF($F$7:F15,F15)-1</f>
        <v>9</v>
      </c>
    </row>
    <row r="16" spans="1:7" ht="31.95" customHeight="1">
      <c r="A16" s="6" t="s">
        <v>162</v>
      </c>
      <c r="B16" s="6" t="s">
        <v>163</v>
      </c>
      <c r="C16" s="6">
        <v>3</v>
      </c>
      <c r="D16" s="6">
        <v>3</v>
      </c>
      <c r="E16" s="6">
        <v>3</v>
      </c>
      <c r="F16" s="9">
        <f t="shared" si="0"/>
        <v>3</v>
      </c>
      <c r="G16" s="6">
        <f>RANK(F16,$F$7:$F$18,0)+COUNTIF($F$7:F16,F16)-1</f>
        <v>10</v>
      </c>
    </row>
    <row r="17" spans="1:7" ht="31.95" customHeight="1">
      <c r="A17" s="6" t="s">
        <v>164</v>
      </c>
      <c r="B17" s="6" t="s">
        <v>165</v>
      </c>
      <c r="C17" s="6">
        <v>3</v>
      </c>
      <c r="D17" s="6">
        <v>3</v>
      </c>
      <c r="E17" s="6">
        <v>3</v>
      </c>
      <c r="F17" s="9">
        <f t="shared" si="0"/>
        <v>3</v>
      </c>
      <c r="G17" s="6">
        <f>RANK(F17,$F$7:$F$18,0)+COUNTIF($F$7:F17,F17)-1</f>
        <v>11</v>
      </c>
    </row>
    <row r="18" spans="1:7" ht="31.95" customHeight="1">
      <c r="A18" s="6" t="s">
        <v>166</v>
      </c>
      <c r="B18" s="6" t="s">
        <v>167</v>
      </c>
      <c r="C18" s="6">
        <v>2</v>
      </c>
      <c r="D18" s="6">
        <v>3</v>
      </c>
      <c r="E18" s="6">
        <v>3</v>
      </c>
      <c r="F18" s="9">
        <f t="shared" si="0"/>
        <v>2.6666666666666665</v>
      </c>
      <c r="G18" s="6">
        <f>RANK(F18,$F$7:$F$18,0)+COUNTIF($F$7:F18,F18)-1</f>
        <v>12</v>
      </c>
    </row>
    <row r="19" spans="1:7" ht="22.05" customHeight="1">
      <c r="A19" s="1"/>
      <c r="B19" s="1"/>
      <c r="C19" s="1"/>
      <c r="D19" s="1"/>
      <c r="E19" s="1"/>
      <c r="F19" s="1"/>
      <c r="G19" s="1"/>
    </row>
    <row r="20" spans="1:7" ht="36" customHeight="1">
      <c r="A20" s="13" t="s">
        <v>168</v>
      </c>
      <c r="B20" s="13"/>
      <c r="C20" s="13"/>
      <c r="D20" s="13"/>
      <c r="E20" s="13"/>
      <c r="F20" s="13"/>
      <c r="G20" s="13"/>
    </row>
    <row r="21" spans="1:7" ht="22.05" customHeight="1">
      <c r="A21" s="1"/>
      <c r="B21" s="1"/>
      <c r="C21" s="1"/>
      <c r="D21" s="1"/>
      <c r="E21" s="1"/>
      <c r="F21" s="1"/>
      <c r="G21" s="1"/>
    </row>
    <row r="22" spans="1:7" ht="22.05" customHeight="1">
      <c r="A22" s="1"/>
      <c r="B22" s="1"/>
      <c r="C22" s="1"/>
      <c r="D22" s="1"/>
      <c r="E22" s="1"/>
      <c r="F22" s="1"/>
      <c r="G22" s="1"/>
    </row>
    <row r="23" spans="1:7" ht="24" customHeight="1">
      <c r="A23" s="14" t="s">
        <v>169</v>
      </c>
      <c r="B23" s="14"/>
      <c r="C23" s="14"/>
      <c r="D23" s="14"/>
      <c r="E23" s="14"/>
      <c r="F23" s="14"/>
      <c r="G23" s="14"/>
    </row>
    <row r="24" spans="1:7" ht="22.05" customHeight="1">
      <c r="A24" s="1"/>
      <c r="B24" s="1"/>
      <c r="C24" s="1"/>
      <c r="D24" s="1"/>
      <c r="E24" s="1"/>
      <c r="F24" s="1"/>
      <c r="G24" s="1"/>
    </row>
    <row r="25" spans="1:7" ht="36" customHeight="1">
      <c r="A25" s="5" t="s">
        <v>137</v>
      </c>
      <c r="B25" s="5" t="s">
        <v>170</v>
      </c>
      <c r="C25" s="5" t="s">
        <v>171</v>
      </c>
      <c r="D25" s="5" t="s">
        <v>172</v>
      </c>
      <c r="E25" s="5" t="s">
        <v>173</v>
      </c>
      <c r="F25" s="5" t="s">
        <v>174</v>
      </c>
      <c r="G25" s="1"/>
    </row>
    <row r="26" spans="1:7" ht="85.05" customHeight="1">
      <c r="A26" s="6" t="s">
        <v>144</v>
      </c>
      <c r="B26" s="6" t="s">
        <v>175</v>
      </c>
      <c r="C26" s="6" t="s">
        <v>176</v>
      </c>
      <c r="D26" s="6" t="s">
        <v>177</v>
      </c>
      <c r="E26" s="6" t="s">
        <v>178</v>
      </c>
      <c r="F26" s="6" t="s">
        <v>179</v>
      </c>
      <c r="G26" s="1"/>
    </row>
    <row r="27" spans="1:7" ht="85.05" customHeight="1">
      <c r="A27" s="6" t="s">
        <v>146</v>
      </c>
      <c r="B27" s="6" t="s">
        <v>180</v>
      </c>
      <c r="C27" s="6" t="s">
        <v>181</v>
      </c>
      <c r="D27" s="6" t="s">
        <v>182</v>
      </c>
      <c r="E27" s="6" t="s">
        <v>183</v>
      </c>
      <c r="F27" s="6" t="s">
        <v>179</v>
      </c>
      <c r="G27" s="1"/>
    </row>
    <row r="28" spans="1:7" ht="85.05" customHeight="1">
      <c r="A28" s="6" t="s">
        <v>148</v>
      </c>
      <c r="B28" s="6" t="s">
        <v>184</v>
      </c>
      <c r="C28" s="6" t="s">
        <v>185</v>
      </c>
      <c r="D28" s="6" t="s">
        <v>186</v>
      </c>
      <c r="E28" s="6" t="s">
        <v>187</v>
      </c>
      <c r="F28" s="6" t="s">
        <v>179</v>
      </c>
      <c r="G28" s="1"/>
    </row>
    <row r="29" spans="1:7" ht="85.05" customHeight="1">
      <c r="A29" s="6" t="s">
        <v>150</v>
      </c>
      <c r="B29" s="6" t="s">
        <v>188</v>
      </c>
      <c r="C29" s="6" t="s">
        <v>189</v>
      </c>
      <c r="D29" s="6" t="s">
        <v>190</v>
      </c>
      <c r="E29" s="6" t="s">
        <v>191</v>
      </c>
      <c r="F29" s="6" t="s">
        <v>179</v>
      </c>
      <c r="G29" s="1"/>
    </row>
    <row r="30" spans="1:7" ht="85.05" customHeight="1">
      <c r="A30" s="6" t="s">
        <v>152</v>
      </c>
      <c r="B30" s="6" t="s">
        <v>192</v>
      </c>
      <c r="C30" s="6" t="s">
        <v>193</v>
      </c>
      <c r="D30" s="6" t="s">
        <v>194</v>
      </c>
      <c r="E30" s="6" t="s">
        <v>195</v>
      </c>
      <c r="F30" s="6" t="s">
        <v>179</v>
      </c>
      <c r="G30" s="1"/>
    </row>
    <row r="31" spans="1:7" ht="85.05" customHeight="1">
      <c r="A31" s="6" t="s">
        <v>154</v>
      </c>
      <c r="B31" s="6" t="s">
        <v>197</v>
      </c>
      <c r="C31" s="6" t="s">
        <v>198</v>
      </c>
      <c r="D31" s="6" t="s">
        <v>199</v>
      </c>
      <c r="E31" s="6" t="s">
        <v>139</v>
      </c>
      <c r="F31" s="6" t="s">
        <v>179</v>
      </c>
      <c r="G31" s="1"/>
    </row>
    <row r="32" spans="1:7" ht="85.05" customHeight="1">
      <c r="A32" s="6" t="s">
        <v>156</v>
      </c>
      <c r="B32" s="6" t="s">
        <v>200</v>
      </c>
      <c r="C32" s="6" t="s">
        <v>201</v>
      </c>
      <c r="D32" s="6" t="s">
        <v>202</v>
      </c>
      <c r="E32" s="6" t="s">
        <v>140</v>
      </c>
      <c r="F32" s="6" t="s">
        <v>179</v>
      </c>
      <c r="G32" s="1"/>
    </row>
    <row r="33" spans="1:7" ht="85.05" customHeight="1">
      <c r="A33" s="6" t="s">
        <v>158</v>
      </c>
      <c r="B33" s="6" t="s">
        <v>203</v>
      </c>
      <c r="C33" s="6" t="s">
        <v>204</v>
      </c>
      <c r="D33" s="6" t="s">
        <v>205</v>
      </c>
      <c r="E33" s="6" t="s">
        <v>140</v>
      </c>
      <c r="F33" s="6" t="s">
        <v>196</v>
      </c>
      <c r="G33" s="1"/>
    </row>
    <row r="34" spans="1:7" ht="85.05" customHeight="1">
      <c r="A34" s="6" t="s">
        <v>160</v>
      </c>
      <c r="B34" s="6" t="s">
        <v>206</v>
      </c>
      <c r="C34" s="6" t="s">
        <v>207</v>
      </c>
      <c r="D34" s="6" t="s">
        <v>208</v>
      </c>
      <c r="E34" s="6" t="s">
        <v>183</v>
      </c>
      <c r="F34" s="6" t="s">
        <v>179</v>
      </c>
      <c r="G34" s="1"/>
    </row>
    <row r="35" spans="1:7" ht="85.05" customHeight="1">
      <c r="A35" s="6" t="s">
        <v>162</v>
      </c>
      <c r="B35" s="6" t="s">
        <v>209</v>
      </c>
      <c r="C35" s="6" t="s">
        <v>210</v>
      </c>
      <c r="D35" s="6" t="s">
        <v>211</v>
      </c>
      <c r="E35" s="6" t="s">
        <v>195</v>
      </c>
      <c r="F35" s="6" t="s">
        <v>179</v>
      </c>
      <c r="G35" s="1"/>
    </row>
    <row r="36" spans="1:7" ht="85.05" customHeight="1">
      <c r="A36" s="6" t="s">
        <v>164</v>
      </c>
      <c r="B36" s="6" t="s">
        <v>212</v>
      </c>
      <c r="C36" s="6" t="s">
        <v>213</v>
      </c>
      <c r="D36" s="6" t="s">
        <v>214</v>
      </c>
      <c r="E36" s="6" t="s">
        <v>215</v>
      </c>
      <c r="F36" s="6" t="s">
        <v>196</v>
      </c>
      <c r="G36" s="1"/>
    </row>
    <row r="37" spans="1:7" ht="85.05" customHeight="1">
      <c r="A37" s="6" t="s">
        <v>166</v>
      </c>
      <c r="B37" s="6" t="s">
        <v>216</v>
      </c>
      <c r="C37" s="6" t="s">
        <v>217</v>
      </c>
      <c r="D37" s="6" t="s">
        <v>218</v>
      </c>
      <c r="E37" s="6" t="s">
        <v>195</v>
      </c>
      <c r="F37" s="6" t="s">
        <v>179</v>
      </c>
      <c r="G37" s="1"/>
    </row>
    <row r="38" spans="1:7" ht="22.05" customHeight="1">
      <c r="A38" s="1"/>
      <c r="B38" s="1"/>
      <c r="C38" s="1"/>
      <c r="D38" s="1"/>
      <c r="E38" s="1"/>
      <c r="F38" s="1"/>
      <c r="G38" s="1"/>
    </row>
    <row r="39" spans="1:7" ht="22.05" customHeight="1">
      <c r="A39" s="1"/>
      <c r="B39" s="1"/>
      <c r="C39" s="1"/>
      <c r="D39" s="1"/>
      <c r="E39" s="1"/>
      <c r="F39" s="1"/>
      <c r="G39" s="1"/>
    </row>
    <row r="40" spans="1:7" ht="22.05" customHeight="1">
      <c r="A40" s="1"/>
      <c r="B40" s="1"/>
      <c r="C40" s="1"/>
      <c r="D40" s="1"/>
      <c r="E40" s="1"/>
      <c r="F40" s="1"/>
      <c r="G40" s="1"/>
    </row>
    <row r="41" spans="1:7" ht="22.05" customHeight="1">
      <c r="A41" s="1"/>
      <c r="B41" s="1"/>
      <c r="C41" s="1"/>
      <c r="D41" s="1"/>
      <c r="E41" s="1"/>
      <c r="F41" s="1"/>
      <c r="G41" s="1"/>
    </row>
    <row r="42" spans="1:7" ht="22.05" customHeight="1">
      <c r="A42" s="1"/>
      <c r="B42" s="1"/>
      <c r="C42" s="1"/>
      <c r="D42" s="1"/>
      <c r="E42" s="1"/>
      <c r="F42" s="1"/>
      <c r="G42" s="1"/>
    </row>
  </sheetData>
  <mergeCells count="6">
    <mergeCell ref="A23:G23"/>
    <mergeCell ref="A1:G1"/>
    <mergeCell ref="A2:G2"/>
    <mergeCell ref="A3:G3"/>
    <mergeCell ref="A4:G4"/>
    <mergeCell ref="A20:G20"/>
  </mergeCells>
  <dataValidations count="1">
    <dataValidation type="whole" sqref="C7:E18" xr:uid="{00000000-0002-0000-0200-000000000000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pane ySplit="4" topLeftCell="A5" activePane="bottomLeft" state="frozen"/>
      <selection pane="bottomLeft"/>
    </sheetView>
  </sheetViews>
  <sheetFormatPr defaultRowHeight="13.8"/>
  <cols>
    <col min="1" max="1" width="7" customWidth="1"/>
    <col min="2" max="2" width="42" customWidth="1"/>
    <col min="3" max="3" width="12" customWidth="1"/>
    <col min="4" max="4" width="40" customWidth="1"/>
    <col min="5" max="6" width="45" customWidth="1"/>
    <col min="7" max="7" width="20" customWidth="1"/>
  </cols>
  <sheetData>
    <row r="1" spans="1:7" ht="24" customHeight="1">
      <c r="A1" s="12" t="s">
        <v>219</v>
      </c>
      <c r="B1" s="12"/>
      <c r="C1" s="12"/>
      <c r="D1" s="12"/>
      <c r="E1" s="12"/>
      <c r="F1" s="12"/>
      <c r="G1" s="12"/>
    </row>
    <row r="2" spans="1:7" ht="24" customHeight="1">
      <c r="A2" s="13" t="s">
        <v>220</v>
      </c>
      <c r="B2" s="13"/>
      <c r="C2" s="13"/>
      <c r="D2" s="13"/>
      <c r="E2" s="13"/>
      <c r="F2" s="13"/>
      <c r="G2" s="13"/>
    </row>
    <row r="3" spans="1:7" ht="22.05" customHeight="1">
      <c r="A3" s="1"/>
      <c r="B3" s="1"/>
      <c r="C3" s="1"/>
      <c r="D3" s="1"/>
      <c r="E3" s="1"/>
      <c r="F3" s="1"/>
      <c r="G3" s="1"/>
    </row>
    <row r="4" spans="1:7" ht="36" customHeight="1">
      <c r="A4" s="5" t="s">
        <v>143</v>
      </c>
      <c r="B4" s="5" t="s">
        <v>138</v>
      </c>
      <c r="C4" s="5" t="s">
        <v>142</v>
      </c>
      <c r="D4" s="5" t="s">
        <v>170</v>
      </c>
      <c r="E4" s="5" t="s">
        <v>171</v>
      </c>
      <c r="F4" s="5" t="s">
        <v>172</v>
      </c>
      <c r="G4" s="5" t="s">
        <v>173</v>
      </c>
    </row>
    <row r="5" spans="1:7" ht="90" customHeight="1">
      <c r="A5" s="6">
        <v>1</v>
      </c>
      <c r="B5" s="6" t="str">
        <f>INDEX('Оценка рисков'!$B$7:$B$18,MATCH(A5,'Оценка рисков'!$G$7:$G$18,0))</f>
        <v>Двойная запись к одному мастеру</v>
      </c>
      <c r="C5" s="9">
        <f>INDEX('Оценка рисков'!$F$7:$F$18,MATCH(A5,'Оценка рисков'!$G$7:$G$18,0))</f>
        <v>5</v>
      </c>
      <c r="D5" s="6" t="str">
        <f>INDEX('Оценка рисков'!$B$26:$B$37,MATCH(INDEX('Оценка рисков'!$A$7:$A$18,MATCH(A5,'Оценка рисков'!$G$7:$G$18,0)),'Оценка рисков'!$A$26:$A$37,0))</f>
        <v>Срыв визита и конфликт с клиентом.</v>
      </c>
      <c r="E5" s="6" t="str">
        <f>INDEX('Оценка рисков'!$C$26:$C$37,MATCH(INDEX('Оценка рисков'!$A$7:$A$18,MATCH(A5,'Оценка рисков'!$G$7:$G$18,0)),'Оценка рисков'!$A$26:$A$37,0))</f>
        <v>Проверять пересечение интервалов на сервере и тестировать конкурентные запросы.</v>
      </c>
      <c r="F5" s="6" t="str">
        <f>INDEX('Оценка рисков'!$D$26:$D$37,MATCH(INDEX('Оценка рисков'!$A$7:$A$18,MATCH(A5,'Оценка рисков'!$G$7:$G$18,0)),'Оценка рисков'!$A$26:$A$37,0))</f>
        <v>Связаться с клиентами, предложить другой интервал и исправить причину конфликта.</v>
      </c>
      <c r="G5" s="6" t="str">
        <f>INDEX('Оценка рисков'!$E$26:$E$37,MATCH(INDEX('Оценка рисков'!$A$7:$A$18,MATCH(A5,'Оценка рисков'!$G$7:$G$18,0)),'Оценка рисков'!$A$26:$A$37,0))</f>
        <v>Backend и менеджер</v>
      </c>
    </row>
    <row r="6" spans="1:7" ht="90" customHeight="1">
      <c r="A6" s="6">
        <v>2</v>
      </c>
      <c r="B6" s="6" t="str">
        <f>INDEX('Оценка рисков'!$B$7:$B$18,MATCH(A6,'Оценка рисков'!$G$7:$G$18,0))</f>
        <v>Неверный остаток или повторное списание химии</v>
      </c>
      <c r="C6" s="9">
        <f>INDEX('Оценка рисков'!$F$7:$F$18,MATCH(A6,'Оценка рисков'!$G$7:$G$18,0))</f>
        <v>4.666666666666667</v>
      </c>
      <c r="D6" s="6" t="str">
        <f>INDEX('Оценка рисков'!$B$26:$B$37,MATCH(INDEX('Оценка рисков'!$A$7:$A$18,MATCH(A6,'Оценка рисков'!$G$7:$G$18,0)),'Оценка рисков'!$A$26:$A$37,0))</f>
        <v>Нехватка материалов и искажённая себестоимость услуг.</v>
      </c>
      <c r="E6" s="6" t="str">
        <f>INDEX('Оценка рисков'!$C$26:$C$37,MATCH(INDEX('Оценка рисков'!$A$7:$A$18,MATCH(A6,'Оценка рисков'!$G$7:$G$18,0)),'Оценка рисков'!$A$26:$A$37,0))</f>
        <v>Единые единицы измерения, транзакции и уникальные номера документов.</v>
      </c>
      <c r="F6" s="6" t="str">
        <f>INDEX('Оценка рисков'!$D$26:$D$37,MATCH(INDEX('Оценка рисков'!$A$7:$A$18,MATCH(A6,'Оценка рисков'!$G$7:$G$18,0)),'Оценка рисков'!$A$26:$A$37,0))</f>
        <v>Сверить склад с документами, исправить движения и провести инвентаризацию.</v>
      </c>
      <c r="G6" s="6" t="str">
        <f>INDEX('Оценка рисков'!$E$26:$E$37,MATCH(INDEX('Оценка рисков'!$A$7:$A$18,MATCH(A6,'Оценка рисков'!$G$7:$G$18,0)),'Оценка рисков'!$A$26:$A$37,0))</f>
        <v>Backend и QA</v>
      </c>
    </row>
    <row r="7" spans="1:7" ht="90" customHeight="1">
      <c r="A7" s="6">
        <v>3</v>
      </c>
      <c r="B7" s="6" t="str">
        <f>INDEX('Оценка рисков'!$B$7:$B$18,MATCH(A7,'Оценка рисков'!$G$7:$G$18,0))</f>
        <v>Повторная регистрация платежа эквайринга</v>
      </c>
      <c r="C7" s="9">
        <f>INDEX('Оценка рисков'!$F$7:$F$18,MATCH(A7,'Оценка рисков'!$G$7:$G$18,0))</f>
        <v>4.666666666666667</v>
      </c>
      <c r="D7" s="6" t="str">
        <f>INDEX('Оценка рисков'!$B$26:$B$37,MATCH(INDEX('Оценка рисков'!$A$7:$A$18,MATCH(A7,'Оценка рисков'!$G$7:$G$18,0)),'Оценка рисков'!$A$26:$A$37,0))</f>
        <v>Завышенная выручка и неверный статус оплаты визита.</v>
      </c>
      <c r="E7" s="6" t="str">
        <f>INDEX('Оценка рисков'!$C$26:$C$37,MATCH(INDEX('Оценка рисков'!$A$7:$A$18,MATCH(A7,'Оценка рисков'!$G$7:$G$18,0)),'Оценка рисков'!$A$26:$A$37,0))</f>
        <v>Проверять подпись ответа и повторяемость callback по ID платежа.</v>
      </c>
      <c r="F7" s="6" t="str">
        <f>INDEX('Оценка рисков'!$D$26:$D$37,MATCH(INDEX('Оценка рисков'!$A$7:$A$18,MATCH(A7,'Оценка рисков'!$G$7:$G$18,0)),'Оценка рисков'!$A$26:$A$37,0))</f>
        <v>Сверить операции с провайдером, убрать повторный учёт и восстановить статус.</v>
      </c>
      <c r="G7" s="6" t="str">
        <f>INDEX('Оценка рисков'!$E$26:$E$37,MATCH(INDEX('Оценка рисков'!$A$7:$A$18,MATCH(A7,'Оценка рисков'!$G$7:$G$18,0)),'Оценка рисков'!$A$26:$A$37,0))</f>
        <v>Backend и тимлид</v>
      </c>
    </row>
    <row r="8" spans="1:7" ht="90" customHeight="1">
      <c r="A8" s="6">
        <v>4</v>
      </c>
      <c r="B8" s="6" t="str">
        <f>INDEX('Оценка рисков'!$B$7:$B$18,MATCH(A8,'Оценка рисков'!$G$7:$G$18,0))</f>
        <v>Потеря изменений после работы без сети</v>
      </c>
      <c r="C8" s="9">
        <f>INDEX('Оценка рисков'!$F$7:$F$18,MATCH(A8,'Оценка рисков'!$G$7:$G$18,0))</f>
        <v>4.333333333333333</v>
      </c>
      <c r="D8" s="6" t="str">
        <f>INDEX('Оценка рисков'!$B$26:$B$37,MATCH(INDEX('Оценка рисков'!$A$7:$A$18,MATCH(A8,'Оценка рисков'!$G$7:$G$18,0)),'Оценка рисков'!$A$26:$A$37,0))</f>
        <v>Исчезновение записей и несогласованность заданий и склада.</v>
      </c>
      <c r="E8" s="6" t="str">
        <f>INDEX('Оценка рисков'!$C$26:$C$37,MATCH(INDEX('Оценка рисков'!$A$7:$A$18,MATCH(A8,'Оценка рисков'!$G$7:$G$18,0)),'Оценка рисков'!$A$26:$A$37,0))</f>
        <v>Очередь операций, подтверждение доставки и согласованные правила конфликтов.</v>
      </c>
      <c r="F8" s="6" t="str">
        <f>INDEX('Оценка рисков'!$D$26:$D$37,MATCH(INDEX('Оценка рисков'!$A$7:$A$18,MATCH(A8,'Оценка рисков'!$G$7:$G$18,0)),'Оценка рисков'!$A$26:$A$37,0))</f>
        <v>Остановить спорную синхронизацию, восстановить журнал и вручную сверить данные.</v>
      </c>
      <c r="G8" s="6" t="str">
        <f>INDEX('Оценка рисков'!$E$26:$E$37,MATCH(INDEX('Оценка рисков'!$A$7:$A$18,MATCH(A8,'Оценка рисков'!$G$7:$G$18,0)),'Оценка рисков'!$A$26:$A$37,0))</f>
        <v>Тимлид и QA</v>
      </c>
    </row>
    <row r="9" spans="1:7" ht="90" customHeight="1">
      <c r="A9" s="6">
        <v>5</v>
      </c>
      <c r="B9" s="6" t="str">
        <f>INDEX('Оценка рисков'!$B$7:$B$18,MATCH(A9,'Оценка рисков'!$G$7:$G$18,0))</f>
        <v>Доступ мастера к чужим данным и заданиям</v>
      </c>
      <c r="C9" s="9">
        <f>INDEX('Оценка рисков'!$F$7:$F$18,MATCH(A9,'Оценка рисков'!$G$7:$G$18,0))</f>
        <v>4</v>
      </c>
      <c r="D9" s="6" t="str">
        <f>INDEX('Оценка рисков'!$B$26:$B$37,MATCH(INDEX('Оценка рисков'!$A$7:$A$18,MATCH(A9,'Оценка рисков'!$G$7:$G$18,0)),'Оценка рисков'!$A$26:$A$37,0))</f>
        <v>Раскрытие клиентской информации и изменение чужой работы.</v>
      </c>
      <c r="E9" s="6" t="str">
        <f>INDEX('Оценка рисков'!$C$26:$C$37,MATCH(INDEX('Оценка рисков'!$A$7:$A$18,MATCH(A9,'Оценка рисков'!$G$7:$G$18,0)),'Оценка рисков'!$A$26:$A$37,0))</f>
        <v>Проверять роль и владельца объекта в каждом API; проводить отрицательные тесты.</v>
      </c>
      <c r="F9" s="6" t="str">
        <f>INDEX('Оценка рисков'!$D$26:$D$37,MATCH(INDEX('Оценка рисков'!$A$7:$A$18,MATCH(A9,'Оценка рисков'!$G$7:$G$18,0)),'Оценка рисков'!$A$26:$A$37,0))</f>
        <v>Отозвать сессии, ограничить доступ, исправить проверки и изучить журнал действий.</v>
      </c>
      <c r="G9" s="6" t="str">
        <f>INDEX('Оценка рисков'!$E$26:$E$37,MATCH(INDEX('Оценка рисков'!$A$7:$A$18,MATCH(A9,'Оценка рисков'!$G$7:$G$18,0)),'Оценка рисков'!$A$26:$A$37,0))</f>
        <v>Backend</v>
      </c>
    </row>
    <row r="10" spans="1:7" ht="22.05" customHeight="1">
      <c r="A10" s="1"/>
      <c r="B10" s="1"/>
      <c r="C10" s="1"/>
      <c r="D10" s="1"/>
      <c r="E10" s="1"/>
      <c r="F10" s="1"/>
      <c r="G10" s="1"/>
    </row>
    <row r="11" spans="1:7" ht="31.95" customHeight="1">
      <c r="A11" s="13" t="s">
        <v>221</v>
      </c>
      <c r="B11" s="13"/>
      <c r="C11" s="13"/>
      <c r="D11" s="13"/>
      <c r="E11" s="13"/>
      <c r="F11" s="13"/>
      <c r="G11" s="13"/>
    </row>
  </sheetData>
  <mergeCells count="3">
    <mergeCell ref="A1:G1"/>
    <mergeCell ref="A2:G2"/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Расчёт</vt:lpstr>
      <vt:lpstr>Компромиссы</vt:lpstr>
      <vt:lpstr>Оценка рисков</vt:lpstr>
      <vt:lpstr>Анализ рисков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Анастасия Махрова</cp:lastModifiedBy>
  <dcterms:modified xsi:type="dcterms:W3CDTF">2026-10-13T16:46:04Z</dcterms:modified>
</cp:coreProperties>
</file>